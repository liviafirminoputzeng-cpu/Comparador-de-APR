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98876cb632486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ainel" sheetId="1" r:id="Rf7b498c63c384783"/>
    <x:sheet xmlns:r="http://schemas.openxmlformats.org/officeDocument/2006/relationships" name="Controle" sheetId="2" r:id="Rd3a30997d90046c1"/>
    <x:sheet xmlns:r="http://schemas.openxmlformats.org/officeDocument/2006/relationships" name="Equipe" sheetId="3" r:id="R26f6516a92e84e3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&quot;%&quot;"/>
    <x:numFmt numFmtId="202" formatCode="0%"/>
  </x:numFmts>
  <x:fonts count="26">
    <x:font>
      <x:sz val="11"/>
      <x:name val="Carlito"/>
    </x:font>
    <x:font>
      <x:sz val="10"/>
      <x:color rgb="FF172540"/>
      <x:name val="Arial"/>
    </x:font>
    <x:font>
      <x:b/>
      <x:sz val="16"/>
      <x:color rgb="FF0D1631"/>
      <x:name val="Arial"/>
    </x:font>
    <x:font>
      <x:i/>
      <x:sz val="10"/>
      <x:color rgb="FF60718F"/>
      <x:name val="Arial"/>
    </x:font>
    <x:font>
      <x:b/>
      <x:sz val="10"/>
      <x:color rgb="FFFFFFFF"/>
      <x:name val="Arial"/>
    </x:font>
    <x:font>
      <x:b/>
      <x:sz val="10"/>
      <x:color rgb="FF234B89"/>
      <x:name val="Arial"/>
    </x:font>
    <x:font>
      <x:b/>
      <x:sz val="10"/>
      <x:color rgb="FF58657A"/>
      <x:name val="Arial"/>
    </x:font>
    <x:font>
      <x:b/>
      <x:sz val="10"/>
      <x:color rgb="FF795B12"/>
      <x:name val="Arial"/>
    </x:font>
    <x:font>
      <x:b/>
      <x:sz val="10"/>
      <x:color rgb="FF11687F"/>
      <x:name val="Arial"/>
    </x:font>
    <x:font>
      <x:b/>
      <x:sz val="10"/>
      <x:color rgb="FF583999"/>
      <x:name val="Arial"/>
    </x:font>
    <x:font>
      <x:b/>
      <x:sz val="10"/>
      <x:color rgb="FF9A501D"/>
      <x:name val="Arial"/>
    </x:font>
    <x:font>
      <x:b/>
      <x:sz val="10"/>
      <x:color rgb="FFA23A45"/>
      <x:name val="Arial"/>
    </x:font>
    <x:font>
      <x:b/>
      <x:sz val="10"/>
      <x:color rgb="FF176743"/>
      <x:name val="Arial"/>
    </x:font>
    <x:font>
      <x:b/>
      <x:sz val="10"/>
      <x:color rgb="FF60718F"/>
      <x:name val="Arial"/>
    </x:font>
    <x:font>
      <x:b/>
      <x:sz val="16"/>
      <x:color rgb="FF234B89"/>
      <x:name val="Arial"/>
    </x:font>
    <x:font>
      <x:b/>
      <x:sz val="16"/>
      <x:color rgb="FF176743"/>
      <x:name val="Arial"/>
    </x:font>
    <x:font>
      <x:b/>
      <x:sz val="16"/>
      <x:color rgb="FF11687F"/>
      <x:name val="Arial"/>
    </x:font>
    <x:font>
      <x:b/>
      <x:sz val="16"/>
      <x:color rgb="FFA23A45"/>
      <x:name val="Arial"/>
    </x:font>
    <x:font>
      <x:b/>
      <x:sz val="16"/>
      <x:color rgb="FF5848A8"/>
      <x:name val="Arial"/>
    </x:font>
    <x:font>
      <x:b/>
      <x:sz val="16"/>
      <x:color rgb="FF795B12"/>
      <x:name val="Arial"/>
    </x:font>
    <x:font>
      <x:b/>
      <x:sz val="16"/>
      <x:color rgb="FF9A501D"/>
      <x:name val="Arial"/>
    </x:font>
    <x:font>
      <x:b/>
      <x:sz val="11"/>
      <x:color rgb="FFFFFFFF"/>
      <x:name val="Aptos"/>
    </x:font>
    <x:font>
      <x:sz val="11"/>
      <x:color rgb="FF172242"/>
      <x:name val="Aptos"/>
    </x:font>
    <x:font>
      <x:i/>
      <x:sz val="10"/>
      <x:color rgb="FF58657A"/>
      <x:name val="Aptos"/>
    </x:font>
    <x:font>
      <x:b/>
      <x:sz val="10"/>
      <x:color rgb="FFFFFFFF"/>
      <x:name val="Aptos"/>
    </x:font>
    <x:font>
      <x:b/>
      <x:sz val="12"/>
      <x:color rgb="FF172242"/>
      <x:name val="Aptos"/>
    </x:font>
  </x:fonts>
  <x:fills count="19">
    <x:fill>
      <x:patternFill patternType="none"/>
    </x:fill>
    <x:fill>
      <x:patternFill patternType="gray125"/>
    </x:fill>
    <x:fill>
      <x:patternFill patternType="solid">
        <x:fgColor rgb="FF172242"/>
      </x:patternFill>
    </x:fill>
    <x:fill>
      <x:patternFill patternType="solid">
        <x:fgColor rgb="FFFFF3CB"/>
      </x:patternFill>
    </x:fill>
    <x:fill>
      <x:patternFill patternType="solid">
        <x:fgColor rgb="FFF4F7FC"/>
      </x:patternFill>
    </x:fill>
    <x:fill>
      <x:patternFill patternType="solid">
        <x:fgColor rgb="FF5848A8"/>
      </x:patternFill>
    </x:fill>
    <x:fill>
      <x:patternFill patternType="solid">
        <x:fgColor rgb="FF234B89"/>
      </x:patternFill>
    </x:fill>
    <x:fill>
      <x:patternFill patternType="solid">
        <x:fgColor rgb="FFE9EDF3"/>
      </x:patternFill>
    </x:fill>
    <x:fill>
      <x:patternFill patternType="solid">
        <x:fgColor rgb="FFFFF2C9"/>
      </x:patternFill>
    </x:fill>
    <x:fill>
      <x:patternFill patternType="solid">
        <x:fgColor rgb="FFDCF2FA"/>
      </x:patternFill>
    </x:fill>
    <x:fill>
      <x:patternFill patternType="solid">
        <x:fgColor rgb="FFECE7F8"/>
      </x:patternFill>
    </x:fill>
    <x:fill>
      <x:patternFill patternType="solid">
        <x:fgColor rgb="FFFCE8D8"/>
      </x:patternFill>
    </x:fill>
    <x:fill>
      <x:patternFill patternType="solid">
        <x:fgColor rgb="FFF9DEDF"/>
      </x:patternFill>
    </x:fill>
    <x:fill>
      <x:patternFill patternType="solid">
        <x:fgColor rgb="FFDBF2E4"/>
      </x:patternFill>
    </x:fill>
    <x:fill>
      <x:patternFill patternType="solid">
        <x:fgColor rgb="FF5B49A9"/>
      </x:patternFill>
    </x:fill>
    <x:fill>
      <x:patternFill patternType="solid">
        <x:fgColor rgb="FFFFF3CB"/>
      </x:patternFill>
    </x:fill>
    <x:fill>
      <x:patternFill patternType="solid">
        <x:fgColor rgb="FF172242"/>
      </x:patternFill>
    </x:fill>
    <x:fill>
      <x:patternFill patternType="solid">
        <x:fgColor rgb="FF264E89"/>
      </x:patternFill>
    </x:fill>
    <x:fill>
      <x:patternFill patternType="solid">
        <x:fgColor rgb="FFE9EFF8"/>
      </x:patternFill>
    </x:fill>
  </x:fills>
  <x:borders count="4">
    <x:border/>
    <x:border>
      <x:left style="thin">
        <x:color rgb="FFD8E1EE"/>
      </x:left>
      <x:right style="thin">
        <x:color rgb="FFD8E1EE"/>
      </x:right>
      <x:top style="thin">
        <x:color rgb="FFD8E1EE"/>
      </x:top>
    </x:border>
    <x:border>
      <x:left style="thin">
        <x:color rgb="FFD8E1EE"/>
      </x:left>
      <x:right style="thin">
        <x:color rgb="FFD8E1EE"/>
      </x:right>
    </x:border>
    <x:border>
      <x:left style="thin">
        <x:color rgb="FFD8E1EE"/>
      </x:left>
      <x:right style="thin">
        <x:color rgb="FFD8E1EE"/>
      </x:right>
      <x:bottom style="thin">
        <x:color rgb="FFD8E1EE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 wrapText="1"/>
    </x:xf>
    <x:xf numFmtId="0" fontId="5" fillId="4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horizontal="center" vertical="center"/>
    </x:xf>
    <x:xf numFmtId="200" fontId="0" fillId="3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1" fontId="0" fillId="3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1" fillId="3" borderId="3" xfId="0" applyNumberFormat="1" applyFont="1" applyFill="1" applyBorder="1"/>
    <x:xf numFmtId="0" fontId="1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1" fillId="7" borderId="0" xfId="0" applyNumberFormat="1" applyFont="1" applyFill="1" applyBorder="1"/>
    <x:xf numFmtId="0" fontId="6" fillId="7" borderId="0" xfId="0" applyNumberFormat="1" applyFont="1" applyFill="1" applyBorder="1"/>
    <x:xf numFmtId="0" fontId="1" fillId="8" borderId="0" xfId="0" applyNumberFormat="1" applyFont="1" applyFill="1" applyBorder="1"/>
    <x:xf numFmtId="0" fontId="7" fillId="8" borderId="0" xfId="0" applyNumberFormat="1" applyFont="1" applyFill="1" applyBorder="1"/>
    <x:xf numFmtId="0" fontId="1" fillId="9" borderId="0" xfId="0" applyNumberFormat="1" applyFont="1" applyFill="1" applyBorder="1"/>
    <x:xf numFmtId="0" fontId="8" fillId="9" borderId="0" xfId="0" applyNumberFormat="1" applyFont="1" applyFill="1" applyBorder="1"/>
    <x:xf numFmtId="0" fontId="1" fillId="10" borderId="0" xfId="0" applyNumberFormat="1" applyFont="1" applyFill="1" applyBorder="1"/>
    <x:xf numFmtId="0" fontId="9" fillId="10" borderId="0" xfId="0" applyNumberFormat="1" applyFont="1" applyFill="1" applyBorder="1"/>
    <x:xf numFmtId="0" fontId="1" fillId="11" borderId="0" xfId="0" applyNumberFormat="1" applyFont="1" applyFill="1" applyBorder="1"/>
    <x:xf numFmtId="0" fontId="10" fillId="11" borderId="0" xfId="0" applyNumberFormat="1" applyFont="1" applyFill="1" applyBorder="1"/>
    <x:xf numFmtId="0" fontId="1" fillId="12" borderId="0" xfId="0" applyNumberFormat="1" applyFont="1" applyFill="1" applyBorder="1"/>
    <x:xf numFmtId="0" fontId="11" fillId="12" borderId="0" xfId="0" applyNumberFormat="1" applyFont="1" applyFill="1" applyBorder="1"/>
    <x:xf numFmtId="0" fontId="1" fillId="13" borderId="0" xfId="0" applyNumberFormat="1" applyFont="1" applyFill="1" applyBorder="1"/>
    <x:xf numFmtId="0" fontId="12" fillId="13" borderId="0" xfId="0" applyNumberFormat="1" applyFont="1" applyFill="1" applyBorder="1"/>
    <x:xf numFmtId="200" fontId="1" fillId="0" borderId="0" xfId="0" applyNumberFormat="1" applyFont="1" applyFill="1" applyBorder="1"/>
    <x:xf numFmtId="0" fontId="13" fillId="0" borderId="0" xfId="0" applyNumberFormat="1" applyFont="1" applyFill="1" applyBorder="1"/>
    <x:xf numFmtId="0" fontId="1" fillId="4" borderId="0" xfId="0" applyNumberFormat="1" applyFont="1" applyFill="1" applyBorder="1"/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 applyAlignment="1">
      <x:alignment horizontal="center" vertical="center"/>
    </x:xf>
    <x:xf numFmtId="0" fontId="15" fillId="4" borderId="0" xfId="0" applyNumberFormat="1" applyFont="1" applyFill="1" applyBorder="1"/>
    <x:xf numFmtId="0" fontId="15" fillId="4" borderId="0" xfId="0" applyNumberFormat="1" applyFont="1" applyFill="1" applyBorder="1" applyAlignment="1">
      <x:alignment horizontal="center"/>
    </x:xf>
    <x:xf numFmtId="0" fontId="15" fillId="4" borderId="0" xfId="0" applyNumberFormat="1" applyFont="1" applyFill="1" applyBorder="1" applyAlignment="1">
      <x:alignment horizontal="center" vertical="center"/>
    </x:xf>
    <x:xf numFmtId="0" fontId="16" fillId="4" borderId="0" xfId="0" applyNumberFormat="1" applyFont="1" applyFill="1" applyBorder="1"/>
    <x:xf numFmtId="0" fontId="16" fillId="4" borderId="0" xfId="0" applyNumberFormat="1" applyFont="1" applyFill="1" applyBorder="1" applyAlignment="1">
      <x:alignment horizontal="center"/>
    </x:xf>
    <x:xf numFmtId="0" fontId="16" fillId="4" borderId="0" xfId="0" applyNumberFormat="1" applyFont="1" applyFill="1" applyBorder="1" applyAlignment="1">
      <x:alignment horizontal="center" vertical="center"/>
    </x:xf>
    <x:xf numFmtId="0" fontId="17" fillId="4" borderId="0" xfId="0" applyNumberFormat="1" applyFont="1" applyFill="1" applyBorder="1"/>
    <x:xf numFmtId="0" fontId="17" fillId="4" borderId="0" xfId="0" applyNumberFormat="1" applyFont="1" applyFill="1" applyBorder="1" applyAlignment="1">
      <x:alignment horizontal="center"/>
    </x:xf>
    <x:xf numFmtId="0" fontId="17" fillId="4" borderId="0" xfId="0" applyNumberFormat="1" applyFont="1" applyFill="1" applyBorder="1" applyAlignment="1">
      <x:alignment horizontal="center" vertical="center"/>
    </x:xf>
    <x:xf numFmtId="0" fontId="18" fillId="4" borderId="0" xfId="0" applyNumberFormat="1" applyFont="1" applyFill="1" applyBorder="1"/>
    <x:xf numFmtId="0" fontId="18" fillId="4" borderId="0" xfId="0" applyNumberFormat="1" applyFont="1" applyFill="1" applyBorder="1" applyAlignment="1">
      <x:alignment horizontal="center"/>
    </x:xf>
    <x:xf numFmtId="0" fontId="18" fillId="4" borderId="0" xfId="0" applyNumberFormat="1" applyFont="1" applyFill="1" applyBorder="1" applyAlignment="1">
      <x:alignment horizontal="center" vertical="center"/>
    </x:xf>
    <x:xf numFmtId="202" fontId="18" fillId="4" borderId="0" xfId="0" applyNumberFormat="1" applyFont="1" applyFill="1" applyBorder="1" applyAlignment="1">
      <x:alignment horizontal="center" vertical="center"/>
    </x:xf>
    <x:xf numFmtId="0" fontId="19" fillId="4" borderId="0" xfId="0" applyNumberFormat="1" applyFont="1" applyFill="1" applyBorder="1"/>
    <x:xf numFmtId="0" fontId="19" fillId="4" borderId="0" xfId="0" applyNumberFormat="1" applyFont="1" applyFill="1" applyBorder="1" applyAlignment="1">
      <x:alignment horizontal="center"/>
    </x:xf>
    <x:xf numFmtId="0" fontId="19" fillId="4" borderId="0" xfId="0" applyNumberFormat="1" applyFont="1" applyFill="1" applyBorder="1" applyAlignment="1">
      <x:alignment horizontal="center" vertical="center"/>
    </x:xf>
    <x:xf numFmtId="0" fontId="20" fillId="4" borderId="0" xfId="0" applyNumberFormat="1" applyFont="1" applyFill="1" applyBorder="1"/>
    <x:xf numFmtId="0" fontId="20" fillId="4" borderId="0" xfId="0" applyNumberFormat="1" applyFont="1" applyFill="1" applyBorder="1" applyAlignment="1">
      <x:alignment horizontal="center"/>
    </x:xf>
    <x:xf numFmtId="0" fontId="20" fillId="4" borderId="0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 vertical="center"/>
    </x:xf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center"/>
    </x:xf>
    <x:xf numFmtId="202" fontId="1" fillId="0" borderId="0" xfId="0" applyNumberFormat="1" applyFont="1" applyFill="1" applyBorder="1" applyAlignment="1">
      <x:alignment horizontal="center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horizontal="center" vertical="center" wrapText="1"/>
    </x:xf>
    <x:xf numFmtId="0" fontId="1" fillId="8" borderId="0" xfId="0" applyNumberFormat="1" applyFont="1" applyFill="1" applyBorder="1" applyAlignment="1">
      <x:alignment horizontal="center"/>
    </x:xf>
    <x:xf numFmtId="0" fontId="0" fillId="14" borderId="0" xfId="0" applyNumberFormat="1" applyFont="1" applyFill="1" applyBorder="1"/>
    <x:xf numFmtId="0" fontId="21" fillId="14" borderId="0" xfId="0" applyNumberFormat="1" applyFont="1" applyFill="1" applyBorder="1"/>
    <x:xf numFmtId="0" fontId="22" fillId="0" borderId="0" xfId="0" applyNumberFormat="1" applyFont="1" applyFill="1" applyBorder="1"/>
    <x:xf numFmtId="0" fontId="0" fillId="15" borderId="0" xfId="0" applyNumberFormat="1" applyFont="1" applyFill="1" applyBorder="1"/>
    <x:xf numFmtId="0" fontId="23" fillId="0" borderId="0" xfId="0" applyNumberFormat="1" applyFont="1" applyFill="1" applyBorder="1"/>
    <x:xf numFmtId="0" fontId="0" fillId="16" borderId="0" xfId="0" applyNumberFormat="1" applyFont="1" applyFill="1" applyBorder="1"/>
    <x:xf numFmtId="0" fontId="24" fillId="16" borderId="0" xfId="0" applyNumberFormat="1" applyFont="1" applyFill="1" applyBorder="1"/>
    <x:xf numFmtId="0" fontId="0" fillId="17" borderId="0" xfId="0" applyNumberFormat="1" applyFont="1" applyFill="1" applyBorder="1"/>
    <x:xf numFmtId="0" fontId="24" fillId="17" borderId="0" xfId="0" applyNumberFormat="1" applyFont="1" applyFill="1" applyBorder="1"/>
    <x:xf numFmtId="0" fontId="0" fillId="18" borderId="0" xfId="0" applyNumberFormat="1" applyFont="1" applyFill="1" applyBorder="1"/>
    <x:xf numFmtId="0" fontId="25" fillId="18" borderId="0" xfId="0" applyNumberFormat="1" applyFont="1" applyFill="1" applyBorder="1"/>
    <x:xf numFmtId="0" fontId="25" fillId="18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23">
    <x:dxf>
      <x:font>
        <x:b/>
        <x:color rgb="FF58657A"/>
      </x:font>
      <x:fill>
        <x:patternFill>
          <x:bgColor rgb="FFE9EDF3"/>
        </x:patternFill>
      </x:fill>
    </x:dxf>
    <x:dxf>
      <x:font>
        <x:b/>
        <x:color rgb="FF795B12"/>
      </x:font>
      <x:fill>
        <x:patternFill>
          <x:bgColor rgb="FFFFF2C9"/>
        </x:patternFill>
      </x:fill>
    </x:dxf>
    <x:dxf>
      <x:font>
        <x:b/>
        <x:color rgb="FF11687F"/>
      </x:font>
      <x:fill>
        <x:patternFill>
          <x:bgColor rgb="FFDCF2FA"/>
        </x:patternFill>
      </x:fill>
    </x:dxf>
    <x:dxf>
      <x:font>
        <x:b/>
        <x:color rgb="FF583999"/>
      </x:font>
      <x:fill>
        <x:patternFill>
          <x:bgColor rgb="FFECE7F8"/>
        </x:patternFill>
      </x:fill>
    </x:dxf>
    <x:dxf>
      <x:font>
        <x:b/>
        <x:color rgb="FF9A501D"/>
      </x:font>
      <x:fill>
        <x:patternFill>
          <x:bgColor rgb="FFFCE8D8"/>
        </x:patternFill>
      </x:fill>
    </x:dxf>
    <x:dxf>
      <x:font>
        <x:b/>
        <x:color rgb="FFA23A45"/>
      </x:font>
      <x:fill>
        <x:patternFill>
          <x:bgColor rgb="FFF9DEDF"/>
        </x:patternFill>
      </x:fill>
    </x:dxf>
    <x:dxf>
      <x:font>
        <x:b/>
        <x:color rgb="FF176743"/>
      </x:font>
      <x:fill>
        <x:patternFill>
          <x:bgColor rgb="FFDBF2E4"/>
        </x:patternFill>
      </x:fill>
    </x:dxf>
    <x:dxf>
      <x:font>
        <x:b/>
        <x:color rgb="FFA23A45"/>
      </x:font>
      <x:fill>
        <x:patternFill>
          <x:bgColor rgb="FFF9DEDF"/>
        </x:patternFill>
      </x:fill>
    </x:dxf>
    <x:dxf>
      <x:font>
        <x:b/>
        <x:color rgb="FF9A501D"/>
      </x:font>
      <x:fill>
        <x:patternFill>
          <x:bgColor rgb="FFFCE8D8"/>
        </x:patternFill>
      </x:fill>
    </x:dxf>
    <x:dxf>
      <x:font>
        <x:color rgb="FFA23A45"/>
      </x:font>
      <x:fill>
        <x:patternFill>
          <x:bgColor rgb="FFF9DEDF"/>
        </x:patternFill>
      </x:fill>
    </x:dxf>
    <x:dxf>
      <x:font>
        <x:color rgb="FF795B12"/>
      </x:font>
      <x:fill>
        <x:patternFill patternType="solid">
          <x:bgColor rgb="FFFFF2C9"/>
        </x:patternFill>
      </x:fill>
    </x:dxf>
    <x:dxf>
      <x:font>
        <x:color rgb="FF11687F"/>
      </x:font>
      <x:fill>
        <x:patternFill patternType="solid">
          <x:bgColor rgb="FFDCF2FA"/>
        </x:patternFill>
      </x:fill>
    </x:dxf>
    <x:dxf>
      <x:font>
        <x:color rgb="FF176743"/>
      </x:font>
      <x:fill>
        <x:patternFill patternType="solid">
          <x:bgColor rgb="FFDBF2E4"/>
        </x:patternFill>
      </x:fill>
    </x:dxf>
    <x:dxf>
      <x:font>
        <x:color rgb="FF58657A"/>
      </x:font>
      <x:fill>
        <x:patternFill patternType="solid">
          <x:bgColor rgb="FFE9EDF3"/>
        </x:patternFill>
      </x:fill>
    </x:dxf>
    <x:dxf>
      <x:font>
        <x:color rgb="FF795B12"/>
      </x:font>
      <x:fill>
        <x:patternFill patternType="solid">
          <x:bgColor rgb="FFFFF2C9"/>
        </x:patternFill>
      </x:fill>
    </x:dxf>
    <x:dxf>
      <x:font>
        <x:color rgb="FF11687F"/>
      </x:font>
      <x:fill>
        <x:patternFill patternType="solid">
          <x:bgColor rgb="FFDCF2FA"/>
        </x:patternFill>
      </x:fill>
    </x:dxf>
    <x:dxf>
      <x:font>
        <x:color rgb="FF583999"/>
      </x:font>
      <x:fill>
        <x:patternFill patternType="solid">
          <x:bgColor rgb="FFECE7F8"/>
        </x:patternFill>
      </x:fill>
    </x:dxf>
    <x:dxf>
      <x:font>
        <x:color rgb="FF9A501D"/>
      </x:font>
      <x:fill>
        <x:patternFill patternType="solid">
          <x:bgColor rgb="FFFCE8D8"/>
        </x:patternFill>
      </x:fill>
    </x:dxf>
    <x:dxf>
      <x:font>
        <x:color rgb="FFA23A45"/>
      </x:font>
      <x:fill>
        <x:patternFill patternType="solid">
          <x:bgColor rgb="FFF9DEDF"/>
        </x:patternFill>
      </x:fill>
    </x:dxf>
    <x:dxf>
      <x:font>
        <x:color rgb="FF176743"/>
      </x:font>
      <x:fill>
        <x:patternFill patternType="solid">
          <x:bgColor rgb="FFDBF2E4"/>
        </x:patternFill>
      </x:fill>
    </x:dxf>
    <x:dxf>
      <x:font>
        <x:color rgb="FFA23A45"/>
      </x:font>
      <x:fill>
        <x:patternFill patternType="solid">
          <x:bgColor rgb="FFF9DEDF"/>
        </x:patternFill>
      </x:fill>
    </x:dxf>
    <x:dxf>
      <x:font>
        <x:color rgb="FF9A501D"/>
      </x:font>
      <x:fill>
        <x:patternFill patternType="solid">
          <x:bgColor rgb="FFFCE8D8"/>
        </x:patternFill>
      </x:fill>
    </x:dxf>
    <x:dxf>
      <x:font>
        <x:color rgb="FFA23A45"/>
      </x:font>
      <x:fill>
        <x:patternFill patternType="solid">
          <x:bgColor rgb="FFF9DE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35653aacc2045b3" /><Relationship Type="http://schemas.openxmlformats.org/officeDocument/2006/relationships/theme" Target="/xl/theme/theme1.xml" Id="Rd12f6c445f6e4912" /><Relationship Type="http://schemas.openxmlformats.org/officeDocument/2006/relationships/sharedStrings" Target="/xl/sharedStrings.xml" Id="Rbab7555f0ab647cb" /><Relationship Type="http://schemas.openxmlformats.org/officeDocument/2006/relationships/worksheet" Target="/xl/worksheets/sheet1.xml" Id="Rf7b498c63c384783" /><Relationship Type="http://schemas.openxmlformats.org/officeDocument/2006/relationships/worksheet" Target="/xl/worksheets/sheet2.xml" Id="Rd3a30997d90046c1" /><Relationship Type="http://schemas.openxmlformats.org/officeDocument/2006/relationships/worksheet" Target="/xl/worksheets/sheet3.xml" Id="R26f6516a92e84e3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35bf4caaeed4ac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Distribuição por situação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Quantidade</c:v>
          </c:tx>
          <c:spPr>
            <a:solidFill xmlns:a="http://schemas.openxmlformats.org/drawingml/2006/main">
              <a:srgbClr val="5848A8"/>
            </a:solidFill>
          </c:spPr>
          <c:cat>
            <c:strRef>
              <c:f>'Painel'!$B$15:$B$22</c:f>
              <c:strCache>
                <c:ptCount val="0"/>
              </c:strCache>
            </c:strRef>
          </c:cat>
          <c:val>
            <c:numRef>
              <c:f>'Painel'!$C$15:$C$22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12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35bf4caaeed4acb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BowTiesRevK" displayName="BowTiesRevK" ref="A8:T25" headerRowCount="1" totalsRowCount="0" totalsRowShown="0">
  <x:tableColumns count="20">
    <x:tableColumn id="1" name="ID do cenário"/>
    <x:tableColumn id="2" name="Nó"/>
    <x:tableColumn id="3" name="Cenário"/>
    <x:tableColumn id="4" name="Sistema"/>
    <x:tableColumn id="5" name="Evento topo / desvio"/>
    <x:tableColumn id="6" name="Trabalho"/>
    <x:tableColumn id="7" name="Planilha produzida"/>
    <x:tableColumn id="8" name="Responsável pela produção"/>
    <x:tableColumn id="9" name="Responsável"/>
    <x:tableColumn id="10" name="Situação"/>
    <x:tableColumn id="11" name="Prioridade"/>
    <x:tableColumn id="12" name="Início previsto"/>
    <x:tableColumn id="13" name="Prazo"/>
    <x:tableColumn id="14" name="Início real"/>
    <x:tableColumn id="15" name="Entrega inicial"/>
    <x:tableColumn id="16" name="Conclusão validada"/>
    <x:tableColumn id="17" name="Progresso (%)"/>
    <x:tableColumn id="18" name="Próxima ação / impedimento"/>
    <x:tableColumn id="19" name="Atualizado em"/>
    <x:tableColumn id="20" name="Página PDF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ca946f079e84b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4c4e89cfa2b443d" /></Relationships>
</file>

<file path=xl/worksheets/sheet1.xml><?xml version="1.0" encoding="utf-8"?>
<x:worksheet xmlns:x="http://schemas.openxmlformats.org/spreadsheetml/2006/main">
  <x:sheetPr>
    <x:tabColor rgb="FF0D1631"/>
  </x:sheetPr>
  <x:sheetViews>
    <x:sheetView showGridLines="0" workbookViewId="0"/>
  </x:sheetViews>
  <x:sheetFormatPr defaultRowHeight="15"/>
  <x:cols>
    <x:col min="1" max="1" width="4" hidden="0" customWidth="1"/>
    <x:col min="2" max="2" width="29" hidden="0" customWidth="1"/>
    <x:col min="3" max="3" width="15" hidden="0" customWidth="1"/>
    <x:col min="4" max="4" width="13" hidden="0" customWidth="1"/>
    <x:col min="5" max="5" width="18" hidden="0" customWidth="1"/>
    <x:col min="6" max="6" width="17" hidden="0" customWidth="1"/>
    <x:col min="7" max="7" width="17" hidden="0" customWidth="1"/>
    <x:col min="8" max="8" width="16" hidden="0" customWidth="1"/>
    <x:col min="9" max="9" width="17" hidden="0" customWidth="1"/>
    <x:col min="10" max="10" width="16" hidden="0" customWidth="1"/>
    <x:col min="11" max="11" width="16" hidden="0" customWidth="1"/>
    <x:col min="12" max="12" width="16" hidden="0" customWidth="1"/>
    <x:col min="13" max="13" width="13" hidden="0" customWidth="1"/>
  </x:cols>
  <x:sheetData>
    <x:row r="2">
      <x:c r="B2" s="2" t="str">
        <x:v>Acompanhamento de BowTies</x:v>
      </x:c>
      <x:c r="C2" s="1"/>
      <x:c r="D2" s="1"/>
      <x:c r="E2" s="1"/>
      <x:c r="F2" s="1"/>
      <x:c r="G2" s="1"/>
      <x:c r="H2" s="1"/>
      <x:c r="I2" s="1"/>
      <x:c r="J2" s="1"/>
      <x:c r="K2" s="1" t="str">
        <x:v>Hoje</x:v>
      </x:c>
      <x:c r="L2" s="44" t="n">
        <x:f>TODAY()</x:f>
        <x:v>46295</x:v>
      </x:c>
      <x:c r="M2" s="1"/>
    </x:row>
    <x:row r="3">
      <x:c r="B3" s="3" t="str">
        <x:v>RL-9208.00-7501-98G-PHF-001.REVK · 17 candidatos iniciais</x:v>
      </x:c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</x:row>
    <x:row r="4"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  <x:c r="M5" s="1"/>
    </x:row>
    <x:row r="6">
      <x:c r="B6" s="45" t="str">
        <x:v>Total de BowTies</x:v>
      </x:c>
      <x:c r="C6" s="1"/>
      <x:c r="D6" s="1"/>
      <x:c r="E6" s="45" t="str">
        <x:v>Concluídos</x:v>
      </x:c>
      <x:c r="F6" s="1"/>
      <x:c r="G6" s="1"/>
      <x:c r="H6" s="45" t="str">
        <x:v>Em desenvolvimento</x:v>
      </x:c>
      <x:c r="I6" s="1"/>
      <x:c r="J6" s="1"/>
      <x:c r="K6" s="45" t="str">
        <x:v>Prazos vencidos</x:v>
      </x:c>
      <x:c r="L6" s="1"/>
      <x:c r="M6" s="1"/>
    </x:row>
    <x:row r="7" ht="35" customHeight="1">
      <x:c r="B7" s="1"/>
      <x:c r="C7" s="49" t="n">
        <x:f>COUNTA(Controle!$A$9:$A$208)</x:f>
        <x:v>17</x:v>
      </x:c>
      <x:c r="D7" s="1"/>
      <x:c r="E7" s="1"/>
      <x:c r="F7" s="52" t="n">
        <x:f>COUNTIF(Controle!$J$9:$J$208,"Concluído")</x:f>
        <x:v>0</x:v>
      </x:c>
      <x:c r="G7" s="1"/>
      <x:c r="H7" s="1"/>
      <x:c r="I7" s="55" t="n">
        <x:f>COUNTIF(Controle!$J$9:$J$208,"Em desenvolvimento")</x:f>
        <x:v>0</x:v>
      </x:c>
      <x:c r="J7" s="1"/>
      <x:c r="K7" s="1"/>
      <x:c r="L7" s="58" t="n">
        <x:f>COUNTIFS(Controle!$M$9:$M$208,"&gt;0",Controle!$M$9:$M$208,"&lt;"&amp;TODAY(),Controle!$J$9:$J$208,"&lt;&gt;Concluído")</x:f>
        <x:v>0</x:v>
      </x:c>
      <x:c r="M7" s="1"/>
    </x:row>
    <x:row r="8"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  <x:c r="M8" s="1"/>
    </x:row>
    <x:row r="9">
      <x:c r="B9" s="45" t="str">
        <x:v>Conclusão (%)</x:v>
      </x:c>
      <x:c r="C9" s="1"/>
      <x:c r="D9" s="1"/>
      <x:c r="E9" s="45" t="str">
        <x:v>Sem responsável</x:v>
      </x:c>
      <x:c r="F9" s="1"/>
      <x:c r="G9" s="1"/>
      <x:c r="H9" s="45" t="str">
        <x:v>Tipo a definir</x:v>
      </x:c>
      <x:c r="I9" s="1"/>
      <x:c r="J9" s="1"/>
      <x:c r="K9" s="45" t="str">
        <x:v>Sem prazo</x:v>
      </x:c>
      <x:c r="L9" s="1"/>
      <x:c r="M9" s="1"/>
    </x:row>
    <x:row r="10" ht="35" customHeight="1">
      <x:c r="B10" s="1"/>
      <x:c r="C10" s="62" t="n">
        <x:f>IFERROR(F7/C7,0)</x:f>
        <x:v>0</x:v>
      </x:c>
      <x:c r="D10" s="1"/>
      <x:c r="E10" s="1"/>
      <x:c r="F10" s="65" t="n">
        <x:f>C7-COUNTA(Controle!$I$9:$I$208)</x:f>
        <x:v>17</x:v>
      </x:c>
      <x:c r="G10" s="1"/>
      <x:c r="H10" s="1"/>
      <x:c r="I10" s="68" t="n">
        <x:f>C7-COUNTA(Controle!$F$9:$F$208)</x:f>
        <x:v>17</x:v>
      </x:c>
      <x:c r="J10" s="1"/>
      <x:c r="K10" s="1"/>
      <x:c r="L10" s="58" t="n">
        <x:f>C7-COUNT(Controle!$M$9:$M$208)</x:f>
        <x:v>17</x:v>
      </x:c>
      <x:c r="M10" s="1"/>
    </x:row>
    <x:row r="11"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  <x:c r="M11" s="1"/>
    </x:row>
    <x:row r="12"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  <x:c r="M12" s="1"/>
    </x:row>
    <x:row r="13" ht="30" customHeight="1">
      <x:c r="B13" s="6" t="str">
        <x:v>Situação dos BowTies</x:v>
      </x:c>
      <x:c r="C13" s="6"/>
      <x:c r="D13" s="6"/>
      <x:c r="E13" s="1"/>
      <x:c r="F13" s="1"/>
      <x:c r="G13" s="1"/>
      <x:c r="H13" s="1"/>
      <x:c r="I13" s="1"/>
      <x:c r="J13" s="1"/>
      <x:c r="K13" s="1"/>
      <x:c r="L13" s="1"/>
      <x:c r="M13" s="1"/>
    </x:row>
    <x:row r="14" ht="30" customHeight="1">
      <x:c r="B14" s="70" t="str">
        <x:v>Situação</x:v>
      </x:c>
      <x:c r="C14" s="70" t="str">
        <x:v>Quantidade</x:v>
      </x:c>
      <x:c r="D14" s="70" t="str">
        <x:v>Parte do total</x:v>
      </x:c>
      <x:c r="E14" s="1"/>
      <x:c r="F14" s="1"/>
      <x:c r="G14" s="1"/>
      <x:c r="H14" s="1"/>
      <x:c r="I14" s="1"/>
      <x:c r="J14" s="1"/>
      <x:c r="K14" s="1"/>
      <x:c r="L14" s="1"/>
      <x:c r="M14" s="1"/>
    </x:row>
    <x:row r="15">
      <x:c r="B15" s="30" t="str">
        <x:v>A definir</x:v>
      </x:c>
      <x:c r="C15" s="72" t="n">
        <x:f>COUNTIF(Controle!$J$9:$J$208,B15)</x:f>
        <x:v>17</x:v>
      </x:c>
      <x:c r="D15" s="73" t="n">
        <x:f>IFERROR(C15/$C$7,0)</x:f>
        <x:v>1</x:v>
      </x:c>
      <x:c r="E15" s="1"/>
      <x:c r="F15" s="1"/>
      <x:c r="G15" s="1"/>
      <x:c r="H15" s="1"/>
      <x:c r="I15" s="1"/>
      <x:c r="J15" s="1"/>
      <x:c r="K15" s="1"/>
      <x:c r="L15" s="1"/>
      <x:c r="M15" s="1"/>
    </x:row>
    <x:row r="16">
      <x:c r="B16" s="32" t="str">
        <x:v>A fazer</x:v>
      </x:c>
      <x:c r="C16" s="72" t="n">
        <x:f>COUNTIF(Controle!$J$9:$J$208,B16)</x:f>
        <x:v>0</x:v>
      </x:c>
      <x:c r="D16" s="73" t="n">
        <x:f>IFERROR(C16/$C$7,0)</x:f>
        <x:v>0</x:v>
      </x:c>
      <x:c r="E16" s="1"/>
      <x:c r="F16" s="1"/>
      <x:c r="G16" s="1"/>
      <x:c r="H16" s="1"/>
      <x:c r="I16" s="1"/>
      <x:c r="J16" s="1"/>
      <x:c r="K16" s="1"/>
      <x:c r="L16" s="1"/>
      <x:c r="M16" s="1"/>
    </x:row>
    <x:row r="17">
      <x:c r="B17" s="34" t="str">
        <x:v>Em desenvolvimento</x:v>
      </x:c>
      <x:c r="C17" s="72" t="n">
        <x:f>COUNTIF(Controle!$J$9:$J$208,B17)</x:f>
        <x:v>0</x:v>
      </x:c>
      <x:c r="D17" s="73" t="n">
        <x:f>IFERROR(C17/$C$7,0)</x:f>
        <x:v>0</x:v>
      </x:c>
      <x:c r="E17" s="1"/>
      <x:c r="F17" s="1"/>
      <x:c r="G17" s="1"/>
      <x:c r="H17" s="1"/>
      <x:c r="I17" s="1"/>
      <x:c r="J17" s="1"/>
      <x:c r="K17" s="1"/>
      <x:c r="L17" s="1"/>
      <x:c r="M17" s="1"/>
    </x:row>
    <x:row r="18">
      <x:c r="B18" s="36" t="str">
        <x:v>Em revisão</x:v>
      </x:c>
      <x:c r="C18" s="72" t="n">
        <x:f>COUNTIF(Controle!$J$9:$J$208,B18)</x:f>
        <x:v>0</x:v>
      </x:c>
      <x:c r="D18" s="73" t="n">
        <x:f>IFERROR(C18/$C$7,0)</x:f>
        <x:v>0</x:v>
      </x:c>
      <x:c r="E18" s="1"/>
      <x:c r="F18" s="1"/>
      <x:c r="G18" s="1"/>
      <x:c r="H18" s="1"/>
      <x:c r="I18" s="1"/>
      <x:c r="J18" s="1"/>
      <x:c r="K18" s="1"/>
      <x:c r="L18" s="1"/>
      <x:c r="M18" s="1"/>
    </x:row>
    <x:row r="19">
      <x:c r="B19" s="38" t="str">
        <x:v>Correção solicitada</x:v>
      </x:c>
      <x:c r="C19" s="72" t="n">
        <x:f>COUNTIF(Controle!$J$9:$J$208,B19)</x:f>
        <x:v>0</x:v>
      </x:c>
      <x:c r="D19" s="73" t="n">
        <x:f>IFERROR(C19/$C$7,0)</x:f>
        <x:v>0</x:v>
      </x:c>
      <x:c r="E19" s="1"/>
      <x:c r="F19" s="1"/>
      <x:c r="G19" s="1"/>
      <x:c r="H19" s="1"/>
      <x:c r="I19" s="1"/>
      <x:c r="J19" s="1"/>
      <x:c r="K19" s="1"/>
      <x:c r="L19" s="1"/>
      <x:c r="M19" s="1"/>
    </x:row>
    <x:row r="20">
      <x:c r="B20" s="40" t="str">
        <x:v>Bloqueado</x:v>
      </x:c>
      <x:c r="C20" s="72" t="n">
        <x:f>COUNTIF(Controle!$J$9:$J$208,B20)</x:f>
        <x:v>0</x:v>
      </x:c>
      <x:c r="D20" s="73" t="n">
        <x:f>IFERROR(C20/$C$7,0)</x:f>
        <x:v>0</x:v>
      </x:c>
      <x:c r="E20" s="1"/>
      <x:c r="F20" s="1"/>
      <x:c r="G20" s="1"/>
      <x:c r="H20" s="1"/>
      <x:c r="I20" s="1"/>
      <x:c r="J20" s="1"/>
      <x:c r="K20" s="1"/>
      <x:c r="L20" s="1"/>
      <x:c r="M20" s="1"/>
    </x:row>
    <x:row r="21">
      <x:c r="B21" s="42" t="str">
        <x:v>Concluído</x:v>
      </x:c>
      <x:c r="C21" s="72" t="n">
        <x:f>COUNTIF(Controle!$J$9:$J$208,B21)</x:f>
        <x:v>0</x:v>
      </x:c>
      <x:c r="D21" s="73" t="n">
        <x:f>IFERROR(C21/$C$7,0)</x:f>
        <x:v>0</x:v>
      </x:c>
      <x:c r="E21" s="1"/>
      <x:c r="F21" s="1"/>
      <x:c r="G21" s="1"/>
      <x:c r="H21" s="1"/>
      <x:c r="I21" s="1"/>
      <x:c r="J21" s="1"/>
      <x:c r="K21" s="1"/>
      <x:c r="L21" s="1"/>
      <x:c r="M21" s="1"/>
    </x:row>
    <x:row r="22">
      <x:c r="B22" s="46" t="str">
        <x:v>Sem atualização</x:v>
      </x:c>
      <x:c r="C22" s="72" t="n">
        <x:f>C7-SUM(C15:C21)</x:f>
        <x:v>0</x:v>
      </x:c>
      <x:c r="D22" s="73" t="n">
        <x:f>IFERROR(C22/$C$7,0)</x:f>
        <x:v>0</x:v>
      </x:c>
      <x:c r="E22" s="1"/>
      <x:c r="F22" s="1"/>
      <x:c r="G22" s="1"/>
      <x:c r="H22" s="1"/>
      <x:c r="I22" s="1"/>
      <x:c r="J22" s="1"/>
      <x:c r="K22" s="1"/>
      <x:c r="L22" s="1"/>
      <x:c r="M22" s="1"/>
    </x:row>
    <x:row r="23"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  <x:c r="M23" s="1"/>
    </x:row>
    <x:row r="24"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  <x:c r="M24" s="1"/>
    </x:row>
    <x:row r="25"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  <x:c r="M25" s="1"/>
    </x:row>
    <x:row r="26"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  <x:c r="M26" s="1"/>
    </x:row>
    <x:row r="27"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  <x:c r="M27" s="1"/>
    </x:row>
    <x:row r="28"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  <x:c r="M28" s="1"/>
    </x:row>
    <x:row r="29" ht="30" customHeight="1">
      <x:c r="B29" s="6" t="str">
        <x:v>Distribuição por analista</x:v>
      </x:c>
      <x:c r="C29" s="6"/>
      <x:c r="D29" s="6"/>
      <x:c r="E29" s="6"/>
      <x:c r="F29" s="6"/>
      <x:c r="G29" s="6"/>
      <x:c r="H29" s="6"/>
      <x:c r="I29" s="6"/>
      <x:c r="J29" s="6"/>
      <x:c r="K29" s="1"/>
      <x:c r="L29" s="1"/>
      <x:c r="M29" s="1"/>
    </x:row>
    <x:row r="30" ht="38" customHeight="1">
      <x:c r="B30" s="75" t="str">
        <x:v>Responsável</x:v>
      </x:c>
      <x:c r="C30" s="75" t="str">
        <x:v>Atribuídos</x:v>
      </x:c>
      <x:c r="D30" s="75" t="str">
        <x:v>A fazer</x:v>
      </x:c>
      <x:c r="E30" s="75" t="str">
        <x:v>Em desenvolvimento</x:v>
      </x:c>
      <x:c r="F30" s="75" t="str">
        <x:v>Em revisão</x:v>
      </x:c>
      <x:c r="G30" s="75" t="str">
        <x:v>Correção solicitada</x:v>
      </x:c>
      <x:c r="H30" s="75" t="str">
        <x:v>Bloqueados</x:v>
      </x:c>
      <x:c r="I30" s="75" t="str">
        <x:v>Concluídos</x:v>
      </x:c>
      <x:c r="J30" s="75" t="str">
        <x:v>Conclusão (%)</x:v>
      </x:c>
      <x:c r="K30" s="1"/>
      <x:c r="L30" s="1"/>
      <x:c r="M30" s="1"/>
    </x:row>
    <x:row r="31">
      <x:c r="B31" s="1" t="str">
        <x:f>IF(Equipe!C6="","Analista 1 (nome a definir)","Analista 1: "&amp;Equipe!C6)</x:f>
        <x:v>Analista 1 (nome a definir)</x:v>
      </x:c>
      <x:c r="C31" s="72" t="n">
        <x:f>COUNTIF(Controle!$I$9:$I$208,"Analista 1")</x:f>
        <x:v>0</x:v>
      </x:c>
      <x:c r="D31" s="72" t="n">
        <x:f>COUNTIFS(Controle!$I$9:$I$208,"Analista 1",Controle!$J$9:$J$208,"A fazer")</x:f>
        <x:v>0</x:v>
      </x:c>
      <x:c r="E31" s="72" t="n">
        <x:f>COUNTIFS(Controle!$I$9:$I$208,"Analista 1",Controle!$J$9:$J$208,"Em desenvolvimento")</x:f>
        <x:v>0</x:v>
      </x:c>
      <x:c r="F31" s="72" t="n">
        <x:f>COUNTIFS(Controle!$I$9:$I$208,"Analista 1",Controle!$J$9:$J$208,"Em revisão")</x:f>
        <x:v>0</x:v>
      </x:c>
      <x:c r="G31" s="72" t="n">
        <x:f>COUNTIFS(Controle!$I$9:$I$208,"Analista 1",Controle!$J$9:$J$208,"Correção solicitada")</x:f>
        <x:v>0</x:v>
      </x:c>
      <x:c r="H31" s="72" t="n">
        <x:f>COUNTIFS(Controle!$I$9:$I$208,"Analista 1",Controle!$J$9:$J$208,"Bloqueado")</x:f>
        <x:v>0</x:v>
      </x:c>
      <x:c r="I31" s="72" t="n">
        <x:f>COUNTIFS(Controle!$I$9:$I$208,"Analista 1",Controle!$J$9:$J$208,"Concluído")</x:f>
        <x:v>0</x:v>
      </x:c>
      <x:c r="J31" s="73" t="n">
        <x:f>IFERROR(I31/C31,0)</x:f>
        <x:v>0</x:v>
      </x:c>
      <x:c r="K31" s="1"/>
      <x:c r="L31" s="1"/>
      <x:c r="M31" s="1"/>
    </x:row>
    <x:row r="32">
      <x:c r="B32" s="1" t="str">
        <x:f>IF(Equipe!C7="","Analista 2 (nome a definir)","Analista 2: "&amp;Equipe!C7)</x:f>
        <x:v>Analista 2 (nome a definir)</x:v>
      </x:c>
      <x:c r="C32" s="72" t="n">
        <x:f>COUNTIF(Controle!$I$9:$I$208,"Analista 2")</x:f>
        <x:v>0</x:v>
      </x:c>
      <x:c r="D32" s="72" t="n">
        <x:f>COUNTIFS(Controle!$I$9:$I$208,"Analista 2",Controle!$J$9:$J$208,"A fazer")</x:f>
        <x:v>0</x:v>
      </x:c>
      <x:c r="E32" s="72" t="n">
        <x:f>COUNTIFS(Controle!$I$9:$I$208,"Analista 2",Controle!$J$9:$J$208,"Em desenvolvimento")</x:f>
        <x:v>0</x:v>
      </x:c>
      <x:c r="F32" s="72" t="n">
        <x:f>COUNTIFS(Controle!$I$9:$I$208,"Analista 2",Controle!$J$9:$J$208,"Em revisão")</x:f>
        <x:v>0</x:v>
      </x:c>
      <x:c r="G32" s="72" t="n">
        <x:f>COUNTIFS(Controle!$I$9:$I$208,"Analista 2",Controle!$J$9:$J$208,"Correção solicitada")</x:f>
        <x:v>0</x:v>
      </x:c>
      <x:c r="H32" s="72" t="n">
        <x:f>COUNTIFS(Controle!$I$9:$I$208,"Analista 2",Controle!$J$9:$J$208,"Bloqueado")</x:f>
        <x:v>0</x:v>
      </x:c>
      <x:c r="I32" s="72" t="n">
        <x:f>COUNTIFS(Controle!$I$9:$I$208,"Analista 2",Controle!$J$9:$J$208,"Concluído")</x:f>
        <x:v>0</x:v>
      </x:c>
      <x:c r="J32" s="73" t="n">
        <x:f>IFERROR(I32/C32,0)</x:f>
        <x:v>0</x:v>
      </x:c>
      <x:c r="K32" s="1"/>
      <x:c r="L32" s="1"/>
      <x:c r="M32" s="1"/>
    </x:row>
    <x:row r="33">
      <x:c r="B33" s="32" t="str">
        <x:v>Sem atribuição</x:v>
      </x:c>
      <x:c r="C33" s="76" t="n">
        <x:f>C7-SUM(C31:C32)</x:f>
        <x:v>17</x:v>
      </x:c>
      <x:c r="D33" s="72"/>
      <x:c r="E33" s="72"/>
      <x:c r="F33" s="72"/>
      <x:c r="G33" s="72"/>
      <x:c r="H33" s="72"/>
      <x:c r="I33" s="72"/>
      <x:c r="J33" s="72"/>
      <x:c r="K33" s="1"/>
      <x:c r="L33" s="1"/>
      <x:c r="M33" s="1"/>
    </x:row>
    <x:row r="34"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  <x:c r="M34" s="1"/>
    </x:row>
    <x:row r="35"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  <x:c r="M35" s="1"/>
    </x:row>
    <x:row r="36" ht="30" customHeight="1">
      <x:c r="B36" s="6" t="str">
        <x:v>Novo ou correção</x:v>
      </x:c>
      <x:c r="C36" s="6"/>
      <x:c r="D36" s="6"/>
      <x:c r="E36" s="1"/>
      <x:c r="F36" s="6" t="str">
        <x:v>Para começar</x:v>
      </x:c>
      <x:c r="G36" s="6"/>
      <x:c r="H36" s="6"/>
      <x:c r="I36" s="6"/>
      <x:c r="J36" s="6"/>
      <x:c r="K36" s="6"/>
      <x:c r="L36" s="6"/>
      <x:c r="M36" s="6"/>
    </x:row>
    <x:row r="37" ht="30" customHeight="1">
      <x:c r="B37" s="29" t="str">
        <x:v>Trabalho</x:v>
      </x:c>
      <x:c r="C37" s="29" t="str">
        <x:v>Quantidade</x:v>
      </x:c>
      <x:c r="D37" s="1"/>
      <x:c r="E37" s="1"/>
      <x:c r="F37" s="1"/>
      <x:c r="G37" s="1"/>
      <x:c r="H37" s="1"/>
      <x:c r="I37" s="1"/>
      <x:c r="J37" s="1"/>
      <x:c r="K37" s="1"/>
      <x:c r="L37" s="1"/>
      <x:c r="M37" s="1"/>
    </x:row>
    <x:row r="38">
      <x:c r="B38" s="1" t="str">
        <x:v>Novo</x:v>
      </x:c>
      <x:c r="C38" s="1" t="n">
        <x:f>COUNTIF(Controle!$F$9:$F$208,B38)</x:f>
        <x:v>0</x:v>
      </x:c>
      <x:c r="D38" s="1"/>
      <x:c r="E38" s="1"/>
      <x:c r="F38" s="3" t="str">
        <x:v>1. Preencha os nomes na aba Equipe.</x:v>
      </x:c>
      <x:c r="G38" s="1"/>
      <x:c r="H38" s="1"/>
      <x:c r="I38" s="1"/>
      <x:c r="J38" s="1"/>
      <x:c r="K38" s="1"/>
      <x:c r="L38" s="1"/>
      <x:c r="M38" s="1"/>
    </x:row>
    <x:row r="39">
      <x:c r="B39" s="1" t="str">
        <x:v>Correção</x:v>
      </x:c>
      <x:c r="C39" s="1" t="n">
        <x:f>COUNTIF(Controle!$F$9:$F$208,B39)</x:f>
        <x:v>0</x:v>
      </x:c>
      <x:c r="D39" s="1"/>
      <x:c r="E39" s="1"/>
      <x:c r="F39" s="3" t="str">
        <x:v>2. Defina tipo, responsável e prazo na aba Controle.</x:v>
      </x:c>
      <x:c r="G39" s="1"/>
      <x:c r="H39" s="1"/>
      <x:c r="I39" s="1"/>
      <x:c r="J39" s="1"/>
      <x:c r="K39" s="1"/>
      <x:c r="L39" s="1"/>
      <x:c r="M39" s="1"/>
    </x:row>
    <x:row r="40">
      <x:c r="B40" s="1" t="str">
        <x:v>A definir</x:v>
      </x:c>
      <x:c r="C40" s="1" t="n">
        <x:f>C7-SUM(C38:C39)</x:f>
        <x:v>17</x:v>
      </x:c>
      <x:c r="D40" s="1"/>
      <x:c r="E40" s="1"/>
      <x:c r="F40" s="3" t="str">
        <x:v>3. Atualize situação, próxima ação e datas durante o trabalho.</x:v>
      </x:c>
      <x:c r="G40" s="1"/>
      <x:c r="H40" s="1"/>
      <x:c r="I40" s="1"/>
      <x:c r="J40" s="1"/>
      <x:c r="K40" s="1"/>
      <x:c r="L40" s="1"/>
      <x:c r="M40" s="1"/>
    </x:row>
    <x:row r="41"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  <x:c r="M41" s="1"/>
    </x:row>
    <x:row r="42"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  <x:c r="M42" s="1"/>
    </x:row>
    <x:row r="44">
      <x:c r="B44" s="83" t="str">
        <x:v>Planilhas dos novos BowTies</x:v>
      </x:c>
      <x:c r="C44" s="83"/>
      <x:c r="D44" s="83"/>
      <x:c r="E44" s="83"/>
      <x:c r="F44" s="83"/>
      <x:c r="G44" s="83"/>
      <x:c r="H44" s="83"/>
      <x:c r="I44" s="83"/>
      <x:c r="J44" s="83"/>
    </x:row>
    <x:row r="45">
      <x:c r="B45" s="85" t="str">
        <x:v>Novos</x:v>
      </x:c>
      <x:c r="C45" s="88" t="n">
        <x:f>C38</x:f>
        <x:v>0</x:v>
      </x:c>
      <x:c r="D45" s="85" t="str">
        <x:v>Produzidas</x:v>
      </x:c>
      <x:c r="E45" s="88" t="n">
        <x:f>COUNTIFS(Controle!$F$9:$F$208,"Novo",Controle!$G$9:$G$208,"Produzida")</x:f>
        <x:v>0</x:v>
      </x:c>
      <x:c r="F45" s="85" t="str">
        <x:v>Em produção</x:v>
      </x:c>
      <x:c r="G45" s="88" t="n">
        <x:f>COUNTIFS(Controle!$F$9:$F$208,"Novo",Controle!$G$9:$G$208,"Em produção")</x:f>
        <x:v>0</x:v>
      </x:c>
      <x:c r="H45" s="85" t="str">
        <x:v>A fazer</x:v>
      </x:c>
      <x:c r="I45" s="88" t="n">
        <x:f>COUNTIFS(Controle!$F$9:$F$208,"Novo",Controle!$G$9:$G$208,"A fazer")</x:f>
        <x:v>0</x:v>
      </x:c>
    </x:row>
    <x:row r="47">
      <x:c r="B47" s="83" t="str">
        <x:v>Divisão da produção entre estagiários</x:v>
      </x:c>
      <x:c r="C47" s="83"/>
      <x:c r="D47" s="83"/>
      <x:c r="E47" s="83"/>
      <x:c r="F47" s="83"/>
      <x:c r="G47" s="83"/>
      <x:c r="H47" s="83"/>
      <x:c r="I47" s="83"/>
      <x:c r="J47" s="83"/>
    </x:row>
    <x:row r="48">
      <x:c r="B48" s="85" t="str">
        <x:v>Responsável</x:v>
      </x:c>
      <x:c r="C48" s="85" t="str">
        <x:v>Atribuídas</x:v>
      </x:c>
      <x:c r="D48" s="85" t="str">
        <x:v>A fazer</x:v>
      </x:c>
      <x:c r="E48" s="85" t="str">
        <x:v>Em produção</x:v>
      </x:c>
      <x:c r="F48" s="85" t="str">
        <x:v>Produzidas</x:v>
      </x:c>
    </x:row>
    <x:row r="49" ht="22" customHeight="1">
      <x:c r="B49" t="str">
        <x:f>IF(Equipe!C25="","Estagiário 1 (nome a definir)","Estagiário 1: "&amp;Equipe!C25)</x:f>
        <x:v>Estagiário 1 (nome a definir)</x:v>
      </x:c>
      <x:c r="C49" t="n">
        <x:f>COUNTIFS(Controle!$F$9:$F$208,"Novo",Controle!$H$9:$H$208,"Estagiário 1")</x:f>
        <x:v>0</x:v>
      </x:c>
      <x:c r="D49" t="n">
        <x:f>COUNTIFS(Controle!$F$9:$F$208,"Novo",Controle!$H$9:$H$208,"Estagiário 1",Controle!$G$9:$G$208,"A fazer")</x:f>
        <x:v>0</x:v>
      </x:c>
      <x:c r="E49" t="n">
        <x:f>COUNTIFS(Controle!$F$9:$F$208,"Novo",Controle!$H$9:$H$208,"Estagiário 1",Controle!$G$9:$G$208,"Em produção")</x:f>
        <x:v>0</x:v>
      </x:c>
      <x:c r="F49" t="n">
        <x:f>COUNTIFS(Controle!$F$9:$F$208,"Novo",Controle!$H$9:$H$208,"Estagiário 1",Controle!$G$9:$G$208,"Produzida")</x:f>
        <x:v>0</x:v>
      </x:c>
    </x:row>
    <x:row r="50" ht="22" customHeight="1">
      <x:c r="B50" t="str">
        <x:f>IF(Equipe!C26="","Estagiário 2 (nome a definir)","Estagiário 2: "&amp;Equipe!C26)</x:f>
        <x:v>Estagiário 2 (nome a definir)</x:v>
      </x:c>
      <x:c r="C50" t="n">
        <x:f>COUNTIFS(Controle!$F$9:$F$208,"Novo",Controle!$H$9:$H$208,"Estagiário 2")</x:f>
        <x:v>0</x:v>
      </x:c>
      <x:c r="D50" t="n">
        <x:f>COUNTIFS(Controle!$F$9:$F$208,"Novo",Controle!$H$9:$H$208,"Estagiário 2",Controle!$G$9:$G$208,"A fazer")</x:f>
        <x:v>0</x:v>
      </x:c>
      <x:c r="E50" t="n">
        <x:f>COUNTIFS(Controle!$F$9:$F$208,"Novo",Controle!$H$9:$H$208,"Estagiário 2",Controle!$G$9:$G$208,"Em produção")</x:f>
        <x:v>0</x:v>
      </x:c>
      <x:c r="F50" t="n">
        <x:f>COUNTIFS(Controle!$F$9:$F$208,"Novo",Controle!$H$9:$H$208,"Estagiário 2",Controle!$G$9:$G$208,"Produzida")</x:f>
        <x:v>0</x:v>
      </x:c>
    </x:row>
    <x:row r="51">
      <x:c r="B51" s="80" t="str">
        <x:v>Sem estagiário atribuído</x:v>
      </x:c>
      <x:c r="C51" s="80" t="n">
        <x:f>C38-SUM(C49:C50)</x:f>
        <x:v>0</x:v>
      </x:c>
    </x:row>
    <x:row r="53">
      <x:c r="B53" s="80" t="str">
        <x:v>Novos sem etapa registrada</x:v>
      </x:c>
      <x:c r="C53" s="80" t="n">
        <x:f>C38-SUM(E45,G45,I45)</x:f>
        <x:v>0</x:v>
      </x:c>
    </x:row>
    <x:row r="55">
      <x:c r="B55" s="81" t="str">
        <x:v>Registre “Novo” em Trabalho para incluir o cenário neste setor.</x:v>
      </x:c>
    </x:row>
  </x:sheetData>
  <x:pageMargins left="0.7" right="0.7" top="0.75" bottom="0.75" header="0.3" footer="0.3"/>
  <x:drawing xmlns:r="http://schemas.openxmlformats.org/officeDocument/2006/relationships" r:id="R7ca946f079e84b1c"/>
</x:worksheet>
</file>

<file path=xl/worksheets/sheet2.xml><?xml version="1.0" encoding="utf-8"?>
<x:worksheet xmlns:x="http://schemas.openxmlformats.org/spreadsheetml/2006/main">
  <x:sheetPr>
    <x:tabColor rgb="FF234B89"/>
  </x:sheetPr>
  <x:sheetViews>
    <x:sheetView showGridLines="0" workbookViewId="0">
      <x:pane xSplit="4" ySplit="8" topLeftCell="E9" activePane="bottomRight" state="frozen"/>
    </x:sheetView>
  </x:sheetViews>
  <x:sheetFormatPr defaultRowHeight="15"/>
  <x:cols>
    <x:col min="1" max="1" width="15" hidden="0" customWidth="1"/>
    <x:col min="2" max="2" width="9" hidden="0" customWidth="1"/>
    <x:col min="3" max="3" width="11" hidden="0" customWidth="1"/>
    <x:col min="4" max="4" width="39" hidden="0" customWidth="1"/>
    <x:col min="5" max="5" width="46" hidden="0" customWidth="1"/>
    <x:col min="6" max="6" width="16" hidden="0" customWidth="1"/>
    <x:col min="7" max="7" width="23" hidden="0" customWidth="1"/>
    <x:col min="8" max="8" width="29" hidden="0" customWidth="1"/>
    <x:col min="9" max="9" width="18" hidden="0" customWidth="1"/>
    <x:col min="10" max="10" width="23" hidden="0" customWidth="1"/>
    <x:col min="11" max="11" width="13" hidden="0" customWidth="1"/>
    <x:col min="12" max="12" width="16" hidden="0" customWidth="1"/>
    <x:col min="13" max="13" width="14" hidden="0" customWidth="1"/>
    <x:col min="14" max="14" width="14" hidden="0" customWidth="1"/>
    <x:col min="15" max="15" width="17" hidden="0" customWidth="1"/>
    <x:col min="16" max="16" width="21" hidden="0" customWidth="1"/>
    <x:col min="17" max="17" width="17" hidden="0" customWidth="1"/>
    <x:col min="18" max="18" width="44" hidden="0" customWidth="1"/>
    <x:col min="20" max="20" width="13" hidden="0" customWidth="1"/>
    <x:col min="19" max="19" width="16" hidden="0" customWidth="1"/>
  </x:cols>
  <x:sheetData>
    <x:row r="1" ht="10" customHeight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</x:row>
    <x:row r="2" ht="28" customHeight="1">
      <x:c r="A2" s="2" t="str">
        <x:v>Controle de BowTies</x:v>
      </x:c>
    </x:row>
    <x:row r="3">
      <x:c r="A3" s="3" t="str">
        <x:v>Amarelo: preencher pela equipe. Campos cinza e azul vêm da APR atualizada. Defina produção, responsáveis e andamento nas colunas amarelas.</x:v>
      </x:c>
    </x:row>
    <x:row r="5">
      <x:c r="A5" s="3" t="str">
        <x:v>Fonte: 01-Relatorio-de-Planilhas-k-1-.pdf · RL-9208.00-7501-98G-PHF-001.REVK. ID, nó, cenário, sistema, evento topo e página extraídos do PDF. Seleção: severidade IV/V em Segurança, Patrimônio ou Meio Ambiente.</x:v>
      </x:c>
    </x:row>
    <x:row r="6">
      <x:c r="A6" s="3" t="str">
        <x:v>Classifique o trabalho como Novo ou Correção. Para os novos, acompanhe a planilha produzida e atribua um estagiário.</x:v>
      </x:c>
    </x:row>
    <x:row r="8" ht="30" customHeight="1">
      <x:c r="A8" s="7" t="str">
        <x:v>ID do cenário</x:v>
      </x:c>
      <x:c r="B8" s="7" t="str">
        <x:v>Nó</x:v>
      </x:c>
      <x:c r="C8" s="7" t="str">
        <x:v>Cenário</x:v>
      </x:c>
      <x:c r="D8" s="7" t="str">
        <x:v>Sistema</x:v>
      </x:c>
      <x:c r="E8" s="7" t="str">
        <x:v>Evento topo / desvio</x:v>
      </x:c>
      <x:c r="F8" s="7" t="str">
        <x:v>Trabalho</x:v>
      </x:c>
      <x:c r="G8" s="7" t="str">
        <x:v>Planilha produzida</x:v>
      </x:c>
      <x:c r="H8" s="7" t="str">
        <x:v>Responsável pela produção</x:v>
      </x:c>
      <x:c r="I8" s="7" t="str">
        <x:v>Responsável</x:v>
      </x:c>
      <x:c r="J8" s="7" t="str">
        <x:v>Situação</x:v>
      </x:c>
      <x:c r="K8" s="7" t="str">
        <x:v>Prioridade</x:v>
      </x:c>
      <x:c r="L8" s="7" t="str">
        <x:v>Início previsto</x:v>
      </x:c>
      <x:c r="M8" s="7" t="str">
        <x:v>Prazo</x:v>
      </x:c>
      <x:c r="N8" s="7" t="str">
        <x:v>Início real</x:v>
      </x:c>
      <x:c r="O8" s="7" t="str">
        <x:v>Entrega inicial</x:v>
      </x:c>
      <x:c r="P8" s="7" t="str">
        <x:v>Conclusão validada</x:v>
      </x:c>
      <x:c r="Q8" s="7" t="str">
        <x:v>Progresso (%)</x:v>
      </x:c>
      <x:c r="R8" s="7" t="str">
        <x:v>Próxima ação / impedimento</x:v>
      </x:c>
      <x:c r="S8" t="str">
        <x:v>Atualizado em</x:v>
      </x:c>
      <x:c r="T8" t="str">
        <x:v>Página PDF</x:v>
      </x:c>
    </x:row>
    <x:row r="9" ht="37" customHeight="1">
      <x:c r="A9" s="14" t="str">
        <x:v>N1.2</x:v>
      </x:c>
      <x:c r="B9" s="15" t="n">
        <x:v>1</x:v>
      </x:c>
      <x:c r="C9" s="15" t="n">
        <x:v>2</x:v>
      </x:c>
      <x:c r="D9" s="13" t="str">
        <x:v>Sistema de Gás Natural</x:v>
      </x:c>
      <x:c r="E9" s="13" t="str">
        <x:v>Grande Vazamento/Liberação de Gás (linha de 12")</x:v>
      </x:c>
      <x:c r="F9" s="11"/>
      <x:c r="G9" s="11"/>
      <x:c r="H9" s="11"/>
      <x:c r="I9" s="11"/>
      <x:c r="J9" s="16" t="str">
        <x:v>A definir</x:v>
      </x:c>
      <x:c r="K9" s="16"/>
      <x:c r="L9" s="16"/>
      <x:c r="M9" s="16"/>
      <x:c r="N9" s="16"/>
      <x:c r="O9" s="18"/>
      <x:c r="P9" s="11"/>
      <x:c r="Q9" s="16"/>
      <x:c r="R9" s="15"/>
      <x:c r="S9"/>
      <x:c r="T9" t="n">
        <x:v>2</x:v>
      </x:c>
    </x:row>
    <x:row r="10" ht="37" customHeight="1">
      <x:c r="A10" s="14" t="str">
        <x:v>N1.4</x:v>
      </x:c>
      <x:c r="B10" s="15" t="n">
        <x:v>1</x:v>
      </x:c>
      <x:c r="C10" s="15" t="n">
        <x:v>4</x:v>
      </x:c>
      <x:c r="D10" s="13" t="str">
        <x:v>Sistema de Gás Natural</x:v>
      </x:c>
      <x:c r="E10" s="13" t="str">
        <x:v>Grande Vazamento/Liberação de Gás (linha de 8")</x:v>
      </x:c>
      <x:c r="F10" s="11"/>
      <x:c r="G10" s="11"/>
      <x:c r="H10" s="11"/>
      <x:c r="I10" s="11"/>
      <x:c r="J10" s="16" t="str">
        <x:v>A definir</x:v>
      </x:c>
      <x:c r="K10" s="16"/>
      <x:c r="L10" s="16"/>
      <x:c r="M10" s="16"/>
      <x:c r="N10" s="16"/>
      <x:c r="O10" s="18"/>
      <x:c r="P10" s="11"/>
      <x:c r="Q10" s="16"/>
      <x:c r="R10" s="15"/>
      <x:c r="S10"/>
      <x:c r="T10" t="n">
        <x:v>4</x:v>
      </x:c>
    </x:row>
    <x:row r="11" ht="37" customHeight="1">
      <x:c r="A11" s="14" t="str">
        <x:v>N1.5</x:v>
      </x:c>
      <x:c r="B11" s="15" t="n">
        <x:v>1</x:v>
      </x:c>
      <x:c r="C11" s="15" t="n">
        <x:v>5</x:v>
      </x:c>
      <x:c r="D11" s="13" t="str">
        <x:v>Sistema de Gás Natural</x:v>
      </x:c>
      <x:c r="E11" s="13" t="str">
        <x:v>Grande Vazamento/Liberação de Gás (filtros de gás)</x:v>
      </x:c>
      <x:c r="F11" s="11"/>
      <x:c r="G11" s="11"/>
      <x:c r="H11" s="11"/>
      <x:c r="I11" s="11"/>
      <x:c r="J11" s="16" t="str">
        <x:v>A definir</x:v>
      </x:c>
      <x:c r="K11" s="16"/>
      <x:c r="L11" s="16"/>
      <x:c r="M11" s="16"/>
      <x:c r="N11" s="16"/>
      <x:c r="O11" s="18"/>
      <x:c r="P11" s="11"/>
      <x:c r="Q11" s="16"/>
      <x:c r="R11" s="15"/>
      <x:c r="S11"/>
      <x:c r="T11" t="n">
        <x:v>5</x:v>
      </x:c>
    </x:row>
    <x:row r="12" ht="37" customHeight="1">
      <x:c r="A12" s="14" t="str">
        <x:v>N1.6</x:v>
      </x:c>
      <x:c r="B12" s="15" t="n">
        <x:v>1</x:v>
      </x:c>
      <x:c r="C12" s="15" t="n">
        <x:v>6</x:v>
      </x:c>
      <x:c r="D12" s="13" t="str">
        <x:v>Sistema de Gás Natural</x:v>
      </x:c>
      <x:c r="E12" s="13" t="str">
        <x:v>Grande Vazamento/Liberação de Gás (scrubbers de gás)</x:v>
      </x:c>
      <x:c r="F12" s="11"/>
      <x:c r="G12" s="11"/>
      <x:c r="H12" s="11"/>
      <x:c r="I12" s="11"/>
      <x:c r="J12" s="16" t="str">
        <x:v>A definir</x:v>
      </x:c>
      <x:c r="K12" s="16"/>
      <x:c r="L12" s="16"/>
      <x:c r="M12" s="16"/>
      <x:c r="N12" s="16"/>
      <x:c r="O12" s="18"/>
      <x:c r="P12" s="11"/>
      <x:c r="Q12" s="16"/>
      <x:c r="R12" s="15"/>
      <x:c r="S12"/>
      <x:c r="T12" t="n">
        <x:v>6</x:v>
      </x:c>
    </x:row>
    <x:row r="13" ht="37" customHeight="1">
      <x:c r="A13" s="14" t="str">
        <x:v>N1.8</x:v>
      </x:c>
      <x:c r="B13" s="15" t="n">
        <x:v>1</x:v>
      </x:c>
      <x:c r="C13" s="15" t="n">
        <x:v>8</x:v>
      </x:c>
      <x:c r="D13" s="13" t="str">
        <x:v>Sistema de Gás Natural</x:v>
      </x:c>
      <x:c r="E13" s="13" t="str">
        <x:v>Grande Vazamento/Liberação de Gás (tanque de condensado)</x:v>
      </x:c>
      <x:c r="F13" s="11"/>
      <x:c r="G13" s="11"/>
      <x:c r="H13" s="11"/>
      <x:c r="I13" s="11"/>
      <x:c r="J13" s="16" t="str">
        <x:v>A definir</x:v>
      </x:c>
      <x:c r="K13" s="16"/>
      <x:c r="L13" s="16"/>
      <x:c r="M13" s="16"/>
      <x:c r="N13" s="16"/>
      <x:c r="O13" s="18"/>
      <x:c r="P13" s="11"/>
      <x:c r="Q13" s="16"/>
      <x:c r="R13" s="15"/>
      <x:c r="S13"/>
      <x:c r="T13" t="n">
        <x:v>8</x:v>
      </x:c>
    </x:row>
    <x:row r="14" ht="37" customHeight="1">
      <x:c r="A14" s="14" t="str">
        <x:v>N1.10</x:v>
      </x:c>
      <x:c r="B14" s="15" t="n">
        <x:v>1</x:v>
      </x:c>
      <x:c r="C14" s="15" t="n">
        <x:v>10</x:v>
      </x:c>
      <x:c r="D14" s="13" t="str">
        <x:v>Sistema de Gás Natural</x:v>
      </x:c>
      <x:c r="E14" s="13" t="str">
        <x:v>Grande Liberação de Hidrocarboneto Gasoso</x:v>
      </x:c>
      <x:c r="F14" s="11"/>
      <x:c r="G14" s="11"/>
      <x:c r="H14" s="11"/>
      <x:c r="I14" s="11"/>
      <x:c r="J14" s="16" t="str">
        <x:v>A definir</x:v>
      </x:c>
      <x:c r="K14" s="16"/>
      <x:c r="L14" s="16"/>
      <x:c r="M14" s="16"/>
      <x:c r="N14" s="16"/>
      <x:c r="O14" s="18"/>
      <x:c r="P14" s="11"/>
      <x:c r="Q14" s="16"/>
      <x:c r="R14" s="15"/>
      <x:c r="S14"/>
      <x:c r="T14" t="n">
        <x:v>10</x:v>
      </x:c>
    </x:row>
    <x:row r="15" ht="37" customHeight="1">
      <x:c r="A15" s="14" t="str">
        <x:v>N2.2</x:v>
      </x:c>
      <x:c r="B15" s="15" t="n">
        <x:v>2</x:v>
      </x:c>
      <x:c r="C15" s="15" t="n">
        <x:v>2</x:v>
      </x:c>
      <x:c r="D15" s="13" t="str">
        <x:v>Sistema de Turbinas a Gás</x:v>
      </x:c>
      <x:c r="E15" s="13" t="str">
        <x:v>Grande Vazamento/Liberação de Gás H2</x:v>
      </x:c>
      <x:c r="F15" s="11"/>
      <x:c r="G15" s="11"/>
      <x:c r="H15" s="11"/>
      <x:c r="I15" s="11"/>
      <x:c r="J15" s="16" t="str">
        <x:v>A definir</x:v>
      </x:c>
      <x:c r="K15" s="16"/>
      <x:c r="L15" s="16"/>
      <x:c r="M15" s="16"/>
      <x:c r="N15" s="16"/>
      <x:c r="O15" s="18"/>
      <x:c r="P15" s="11"/>
      <x:c r="Q15" s="16"/>
      <x:c r="R15" s="15"/>
      <x:c r="S15"/>
      <x:c r="T15" t="n">
        <x:v>14</x:v>
      </x:c>
    </x:row>
    <x:row r="16" ht="37" customHeight="1">
      <x:c r="A16" s="14" t="str">
        <x:v>N2.5</x:v>
      </x:c>
      <x:c r="B16" s="15" t="n">
        <x:v>2</x:v>
      </x:c>
      <x:c r="C16" s="15" t="n">
        <x:v>5</x:v>
      </x:c>
      <x:c r="D16" s="13" t="str">
        <x:v>Sistema de Turbinas a Gás</x:v>
      </x:c>
      <x:c r="E16" s="13" t="str">
        <x:v>Grande Liberação de Gás CO2 (sistema de combate)</x:v>
      </x:c>
      <x:c r="F16" s="11"/>
      <x:c r="G16" s="11"/>
      <x:c r="H16" s="11"/>
      <x:c r="I16" s="11"/>
      <x:c r="J16" s="16" t="str">
        <x:v>A definir</x:v>
      </x:c>
      <x:c r="K16" s="16"/>
      <x:c r="L16" s="16"/>
      <x:c r="M16" s="16"/>
      <x:c r="N16" s="16"/>
      <x:c r="O16" s="18"/>
      <x:c r="P16" s="11"/>
      <x:c r="Q16" s="16"/>
      <x:c r="R16" s="15"/>
      <x:c r="S16"/>
      <x:c r="T16" t="n">
        <x:v>18</x:v>
      </x:c>
    </x:row>
    <x:row r="17" ht="37" customHeight="1">
      <x:c r="A17" s="14" t="str">
        <x:v>N3.2</x:v>
      </x:c>
      <x:c r="B17" s="15" t="n">
        <x:v>3</x:v>
      </x:c>
      <x:c r="C17" s="15" t="n">
        <x:v>2</x:v>
      </x:c>
      <x:c r="D17" s="13" t="str">
        <x:v>Sistema de Produção de água desmineralizada e</x:v>
      </x:c>
      <x:c r="E17" s="13" t="str">
        <x:v>Grande Vazamento/Liberação de Água Pressurizada</x:v>
      </x:c>
      <x:c r="F17" s="11"/>
      <x:c r="G17" s="11"/>
      <x:c r="H17" s="11"/>
      <x:c r="I17" s="11"/>
      <x:c r="J17" s="16" t="str">
        <x:v>A definir</x:v>
      </x:c>
      <x:c r="K17" s="16"/>
      <x:c r="L17" s="16"/>
      <x:c r="M17" s="16"/>
      <x:c r="N17" s="16"/>
      <x:c r="O17" s="18"/>
      <x:c r="P17" s="11"/>
      <x:c r="Q17" s="16"/>
      <x:c r="R17" s="15"/>
      <x:c r="S17"/>
      <x:c r="T17" t="n">
        <x:v>25</x:v>
      </x:c>
    </x:row>
    <x:row r="18" ht="37" customHeight="1">
      <x:c r="A18" s="14" t="str">
        <x:v>N4.2</x:v>
      </x:c>
      <x:c r="B18" s="15" t="n">
        <x:v>4</x:v>
      </x:c>
      <x:c r="C18" s="15" t="n">
        <x:v>2</x:v>
      </x:c>
      <x:c r="D18" s="13" t="str">
        <x:v>Sistema de Produção de água desmineralizada e</x:v>
      </x:c>
      <x:c r="E18" s="13" t="str">
        <x:v>Grande Vazamento/Liberação de Produtos Químicos (HIPOCLORITO)</x:v>
      </x:c>
      <x:c r="F18" s="11"/>
      <x:c r="G18" s="11"/>
      <x:c r="H18" s="11"/>
      <x:c r="I18" s="11"/>
      <x:c r="J18" s="16" t="str">
        <x:v>A definir</x:v>
      </x:c>
      <x:c r="K18" s="16"/>
      <x:c r="L18" s="16"/>
      <x:c r="M18" s="16"/>
      <x:c r="N18" s="16"/>
      <x:c r="O18" s="18"/>
      <x:c r="P18" s="11"/>
      <x:c r="Q18" s="16"/>
      <x:c r="R18" s="15"/>
      <x:c r="S18"/>
      <x:c r="T18" t="n">
        <x:v>29</x:v>
      </x:c>
    </x:row>
    <x:row r="19" ht="37" customHeight="1">
      <x:c r="A19" s="14" t="str">
        <x:v>N4.4</x:v>
      </x:c>
      <x:c r="B19" s="15" t="n">
        <x:v>4</x:v>
      </x:c>
      <x:c r="C19" s="15" t="n">
        <x:v>4</x:v>
      </x:c>
      <x:c r="D19" s="13" t="str">
        <x:v>Sistema de Produção de água desmineralizada e</x:v>
      </x:c>
      <x:c r="E19" s="13" t="str">
        <x:v>Grande Vazamento/Liberação de Produtos Químicos (SULFATO DE ALUMÍNIO)</x:v>
      </x:c>
      <x:c r="F19" s="11"/>
      <x:c r="G19" s="11"/>
      <x:c r="H19" s="11"/>
      <x:c r="I19" s="11"/>
      <x:c r="J19" s="16" t="str">
        <x:v>A definir</x:v>
      </x:c>
      <x:c r="K19" s="16"/>
      <x:c r="L19" s="16"/>
      <x:c r="M19" s="16"/>
      <x:c r="N19" s="16"/>
      <x:c r="O19" s="18"/>
      <x:c r="P19" s="11"/>
      <x:c r="Q19" s="16"/>
      <x:c r="R19" s="15"/>
      <x:c r="S19"/>
      <x:c r="T19" t="n">
        <x:v>32</x:v>
      </x:c>
    </x:row>
    <x:row r="20" ht="37" customHeight="1">
      <x:c r="A20" s="14" t="str">
        <x:v>N5.2</x:v>
      </x:c>
      <x:c r="B20" s="15" t="n">
        <x:v>5</x:v>
      </x:c>
      <x:c r="C20" s="15" t="n">
        <x:v>2</x:v>
      </x:c>
      <x:c r="D20" s="13" t="str">
        <x:v>Sistema de Produção de água desmineralizada e</x:v>
      </x:c>
      <x:c r="E20" s="13" t="str">
        <x:v>Grande Vazamento/Liberação de Produtos Químicos (Ácido Sulfúrico)</x:v>
      </x:c>
      <x:c r="F20" s="11"/>
      <x:c r="G20" s="11"/>
      <x:c r="H20" s="11"/>
      <x:c r="I20" s="11"/>
      <x:c r="J20" s="16" t="str">
        <x:v>A definir</x:v>
      </x:c>
      <x:c r="K20" s="16"/>
      <x:c r="L20" s="16"/>
      <x:c r="M20" s="16"/>
      <x:c r="N20" s="16"/>
      <x:c r="O20" s="18"/>
      <x:c r="P20" s="11"/>
      <x:c r="Q20" s="16"/>
      <x:c r="R20" s="15"/>
      <x:c r="S20"/>
      <x:c r="T20" t="n">
        <x:v>40</x:v>
      </x:c>
    </x:row>
    <x:row r="21" ht="37" customHeight="1">
      <x:c r="A21" s="14" t="str">
        <x:v>N5.4</x:v>
      </x:c>
      <x:c r="B21" s="15" t="n">
        <x:v>5</x:v>
      </x:c>
      <x:c r="C21" s="15" t="n">
        <x:v>4</x:v>
      </x:c>
      <x:c r="D21" s="13" t="str">
        <x:v>Sistema de Produção de água desmineralizada e</x:v>
      </x:c>
      <x:c r="E21" s="13" t="str">
        <x:v>Grande Vazamento/Liberação de Produtos Químicos (Soda Cáustica)</x:v>
      </x:c>
      <x:c r="F21" s="11"/>
      <x:c r="G21" s="11"/>
      <x:c r="H21" s="11"/>
      <x:c r="I21" s="11"/>
      <x:c r="J21" s="16" t="str">
        <x:v>A definir</x:v>
      </x:c>
      <x:c r="K21" s="16"/>
      <x:c r="L21" s="16"/>
      <x:c r="M21" s="16"/>
      <x:c r="N21" s="16"/>
      <x:c r="O21" s="18"/>
      <x:c r="P21" s="11"/>
      <x:c r="Q21" s="16"/>
      <x:c r="R21" s="15"/>
      <x:c r="S21"/>
      <x:c r="T21" t="n">
        <x:v>43</x:v>
      </x:c>
    </x:row>
    <x:row r="22" ht="37" customHeight="1">
      <x:c r="A22" s="14" t="str">
        <x:v>N5.7</x:v>
      </x:c>
      <x:c r="B22" s="15" t="n">
        <x:v>5</x:v>
      </x:c>
      <x:c r="C22" s="15" t="n">
        <x:v>7</x:v>
      </x:c>
      <x:c r="D22" s="13" t="str">
        <x:v>Sistema de Produção de água desmineralizada e</x:v>
      </x:c>
      <x:c r="E22" s="13" t="str">
        <x:v>Liberação de energia descontrolada</x:v>
      </x:c>
      <x:c r="F22" s="11"/>
      <x:c r="G22" s="11"/>
      <x:c r="H22" s="11"/>
      <x:c r="I22" s="11"/>
      <x:c r="J22" s="16" t="str">
        <x:v>A definir</x:v>
      </x:c>
      <x:c r="K22" s="16"/>
      <x:c r="L22" s="16"/>
      <x:c r="M22" s="16"/>
      <x:c r="N22" s="16"/>
      <x:c r="O22" s="18"/>
      <x:c r="P22" s="11"/>
      <x:c r="Q22" s="16"/>
      <x:c r="R22" s="15"/>
      <x:c r="S22"/>
      <x:c r="T22" t="n">
        <x:v>46</x:v>
      </x:c>
    </x:row>
    <x:row r="23" ht="37" customHeight="1">
      <x:c r="A23" s="14" t="str">
        <x:v>N9.2</x:v>
      </x:c>
      <x:c r="B23" s="15" t="n">
        <x:v>9</x:v>
      </x:c>
      <x:c r="C23" s="15" t="n">
        <x:v>2</x:v>
      </x:c>
      <x:c r="D23" s="13" t="str">
        <x:v>Sistema de Ar Comprimido</x:v>
      </x:c>
      <x:c r="E23" s="13" t="str">
        <x:v>Grande Liberação de Ar Comprimido</x:v>
      </x:c>
      <x:c r="F23" s="11"/>
      <x:c r="G23" s="11"/>
      <x:c r="H23" s="11"/>
      <x:c r="I23" s="11"/>
      <x:c r="J23" s="16" t="str">
        <x:v>A definir</x:v>
      </x:c>
      <x:c r="K23" s="16"/>
      <x:c r="L23" s="16"/>
      <x:c r="M23" s="16"/>
      <x:c r="N23" s="16"/>
      <x:c r="O23" s="18"/>
      <x:c r="P23" s="11"/>
      <x:c r="Q23" s="16"/>
      <x:c r="R23" s="15"/>
      <x:c r="S23"/>
      <x:c r="T23" t="n">
        <x:v>66</x:v>
      </x:c>
    </x:row>
    <x:row r="24" ht="37" customHeight="1">
      <x:c r="A24" s="14" t="str">
        <x:v>N10.4</x:v>
      </x:c>
      <x:c r="B24" s="15" t="n">
        <x:v>10</x:v>
      </x:c>
      <x:c r="C24" s="15" t="n">
        <x:v>4</x:v>
      </x:c>
      <x:c r="D24" s="13" t="str">
        <x:v>Sistema de Geração de Energia Elétrica</x:v>
      </x:c>
      <x:c r="E24" s="13" t="str">
        <x:v>Grande Vazamento/Liberação de Combustível Líquido (Óleo Isolante - TRAFOs Elevadores)</x:v>
      </x:c>
      <x:c r="F24" s="11"/>
      <x:c r="G24" s="11"/>
      <x:c r="H24" s="11"/>
      <x:c r="I24" s="11"/>
      <x:c r="J24" s="16" t="str">
        <x:v>A definir</x:v>
      </x:c>
      <x:c r="K24" s="16"/>
      <x:c r="L24" s="16"/>
      <x:c r="M24" s="16"/>
      <x:c r="N24" s="16"/>
      <x:c r="O24" s="18"/>
      <x:c r="P24" s="11"/>
      <x:c r="Q24" s="16"/>
      <x:c r="R24" s="15"/>
      <x:c r="S24"/>
      <x:c r="T24" t="n">
        <x:v>71</x:v>
      </x:c>
    </x:row>
    <x:row r="25" ht="37" customHeight="1">
      <x:c r="A25" s="14" t="str">
        <x:v>N10.11</x:v>
      </x:c>
      <x:c r="B25" s="15" t="n">
        <x:v>10</x:v>
      </x:c>
      <x:c r="C25" s="15" t="n">
        <x:v>11</x:v>
      </x:c>
      <x:c r="D25" s="13" t="str">
        <x:v>Sistema de Geração de Energia Elétrica</x:v>
      </x:c>
      <x:c r="E25" s="13" t="str">
        <x:v>Tombamento das torres da linha de transmissão</x:v>
      </x:c>
      <x:c r="F25" s="11"/>
      <x:c r="G25" s="11"/>
      <x:c r="H25" s="11"/>
      <x:c r="I25" s="11"/>
      <x:c r="J25" s="16" t="str">
        <x:v>A definir</x:v>
      </x:c>
      <x:c r="K25" s="16"/>
      <x:c r="L25" s="16"/>
      <x:c r="M25" s="16"/>
      <x:c r="N25" s="16"/>
      <x:c r="O25" s="18"/>
      <x:c r="P25" s="11"/>
      <x:c r="Q25" s="16"/>
      <x:c r="R25" s="15"/>
      <x:c r="S25"/>
      <x:c r="T25" t="n">
        <x:v>77</x:v>
      </x:c>
    </x:row>
    <x:row r="26">
      <x:c r="A26"/>
      <x:c r="G26"/>
      <x:c r="H26"/>
      <x:c r="I26"/>
      <x:c r="J26" s="17"/>
      <x:c r="K26" s="17"/>
      <x:c r="L26" s="17"/>
      <x:c r="M26" s="17"/>
      <x:c r="N26" s="17"/>
      <x:c r="O26" s="19"/>
      <x:c r="P26"/>
      <x:c r="Q26" s="17"/>
      <x:c r="R26"/>
      <x:c r="S26"/>
      <x:c r="T26"/>
    </x:row>
    <x:row r="27">
      <x:c r="G27"/>
      <x:c r="H27"/>
      <x:c r="I27"/>
      <x:c r="J27" s="17"/>
      <x:c r="K27" s="17"/>
      <x:c r="L27" s="17"/>
      <x:c r="M27" s="17"/>
      <x:c r="N27" s="17"/>
      <x:c r="O27" s="19"/>
      <x:c r="P27"/>
      <x:c r="Q27" s="17"/>
      <x:c r="R27"/>
      <x:c r="S27"/>
      <x:c r="T27"/>
    </x:row>
    <x:row r="28">
      <x:c r="G28"/>
      <x:c r="H28"/>
      <x:c r="I28"/>
      <x:c r="J28" s="17"/>
      <x:c r="K28" s="17"/>
      <x:c r="L28" s="17"/>
      <x:c r="M28" s="17"/>
      <x:c r="N28" s="17"/>
      <x:c r="O28" s="19"/>
      <x:c r="P28"/>
      <x:c r="Q28" s="17"/>
      <x:c r="R28"/>
      <x:c r="S28"/>
      <x:c r="T28"/>
    </x:row>
    <x:row r="29">
      <x:c r="G29"/>
      <x:c r="H29"/>
      <x:c r="I29"/>
      <x:c r="J29" s="17"/>
      <x:c r="K29" s="17"/>
      <x:c r="L29" s="17"/>
      <x:c r="M29" s="17"/>
      <x:c r="N29" s="17"/>
      <x:c r="O29" s="19"/>
      <x:c r="P29"/>
      <x:c r="Q29" s="17"/>
      <x:c r="R29"/>
      <x:c r="S29"/>
      <x:c r="T29"/>
    </x:row>
    <x:row r="30">
      <x:c r="G30"/>
      <x:c r="H30"/>
      <x:c r="I30"/>
      <x:c r="J30" s="17"/>
      <x:c r="K30" s="17"/>
      <x:c r="L30" s="17"/>
      <x:c r="M30" s="17"/>
      <x:c r="N30" s="17"/>
      <x:c r="O30" s="19"/>
      <x:c r="P30"/>
      <x:c r="Q30" s="17"/>
      <x:c r="R30"/>
      <x:c r="S30"/>
      <x:c r="T30"/>
    </x:row>
    <x:row r="31">
      <x:c r="G31"/>
      <x:c r="H31"/>
      <x:c r="I31"/>
      <x:c r="J31" s="17"/>
      <x:c r="K31" s="17"/>
      <x:c r="L31" s="17"/>
      <x:c r="M31" s="17"/>
      <x:c r="N31" s="17"/>
      <x:c r="O31" s="19"/>
      <x:c r="P31"/>
      <x:c r="Q31" s="17"/>
      <x:c r="R31"/>
      <x:c r="S31"/>
      <x:c r="T31"/>
    </x:row>
    <x:row r="32">
      <x:c r="G32"/>
      <x:c r="H32"/>
      <x:c r="I32"/>
      <x:c r="J32" s="17"/>
      <x:c r="K32" s="17"/>
      <x:c r="L32" s="17"/>
      <x:c r="M32" s="17"/>
      <x:c r="N32" s="17"/>
      <x:c r="O32" s="19"/>
      <x:c r="P32"/>
      <x:c r="Q32" s="17"/>
      <x:c r="R32"/>
      <x:c r="S32"/>
      <x:c r="T32"/>
    </x:row>
    <x:row r="33">
      <x:c r="G33"/>
      <x:c r="H33"/>
      <x:c r="I33"/>
      <x:c r="J33" s="17"/>
      <x:c r="K33" s="17"/>
      <x:c r="L33" s="17"/>
      <x:c r="M33" s="17"/>
      <x:c r="N33" s="17"/>
      <x:c r="O33" s="19"/>
      <x:c r="P33"/>
      <x:c r="Q33" s="17"/>
      <x:c r="R33"/>
      <x:c r="S33"/>
      <x:c r="T33"/>
    </x:row>
    <x:row r="34">
      <x:c r="G34"/>
      <x:c r="H34"/>
      <x:c r="I34"/>
      <x:c r="J34" s="17"/>
      <x:c r="K34" s="17"/>
      <x:c r="L34" s="17"/>
      <x:c r="M34" s="17"/>
      <x:c r="N34" s="17"/>
      <x:c r="O34" s="19"/>
      <x:c r="P34"/>
      <x:c r="Q34" s="17"/>
      <x:c r="R34"/>
      <x:c r="S34"/>
      <x:c r="T34"/>
    </x:row>
    <x:row r="35">
      <x:c r="G35"/>
      <x:c r="H35"/>
      <x:c r="I35"/>
      <x:c r="J35" s="17"/>
      <x:c r="K35" s="17"/>
      <x:c r="L35" s="17"/>
      <x:c r="M35" s="17"/>
      <x:c r="N35" s="17"/>
      <x:c r="O35" s="19"/>
      <x:c r="P35"/>
      <x:c r="Q35" s="17"/>
      <x:c r="R35"/>
      <x:c r="S35"/>
      <x:c r="T35"/>
    </x:row>
    <x:row r="36">
      <x:c r="G36"/>
      <x:c r="H36"/>
      <x:c r="I36"/>
      <x:c r="J36" s="17"/>
      <x:c r="K36" s="17"/>
      <x:c r="L36" s="17"/>
      <x:c r="M36" s="17"/>
      <x:c r="N36" s="17"/>
      <x:c r="O36" s="19"/>
      <x:c r="P36"/>
      <x:c r="Q36" s="17"/>
      <x:c r="R36"/>
      <x:c r="S36"/>
      <x:c r="T36"/>
    </x:row>
    <x:row r="37">
      <x:c r="G37"/>
      <x:c r="H37"/>
      <x:c r="I37"/>
      <x:c r="J37" s="17"/>
      <x:c r="K37" s="17"/>
      <x:c r="L37" s="17"/>
      <x:c r="M37" s="17"/>
      <x:c r="N37" s="17"/>
      <x:c r="O37" s="19"/>
      <x:c r="P37"/>
      <x:c r="Q37" s="17"/>
      <x:c r="R37"/>
      <x:c r="S37"/>
      <x:c r="T37"/>
    </x:row>
    <x:row r="38">
      <x:c r="G38"/>
      <x:c r="H38"/>
      <x:c r="I38"/>
      <x:c r="J38" s="17"/>
      <x:c r="K38" s="17"/>
      <x:c r="L38" s="17"/>
      <x:c r="M38" s="17"/>
      <x:c r="N38" s="17"/>
      <x:c r="O38" s="19"/>
      <x:c r="P38"/>
      <x:c r="Q38" s="17"/>
      <x:c r="R38"/>
      <x:c r="S38"/>
      <x:c r="T38"/>
    </x:row>
    <x:row r="39">
      <x:c r="G39"/>
      <x:c r="H39"/>
      <x:c r="I39"/>
      <x:c r="J39" s="17"/>
      <x:c r="K39" s="17"/>
      <x:c r="L39" s="17"/>
      <x:c r="M39" s="17"/>
      <x:c r="N39" s="17"/>
      <x:c r="O39" s="19"/>
      <x:c r="P39"/>
      <x:c r="Q39" s="17"/>
      <x:c r="R39"/>
      <x:c r="S39"/>
      <x:c r="T39"/>
    </x:row>
    <x:row r="40">
      <x:c r="G40"/>
      <x:c r="H40"/>
      <x:c r="I40"/>
      <x:c r="J40" s="17"/>
      <x:c r="K40" s="17"/>
      <x:c r="L40" s="17"/>
      <x:c r="M40" s="17"/>
      <x:c r="N40" s="17"/>
      <x:c r="O40" s="19"/>
      <x:c r="P40"/>
      <x:c r="Q40" s="17"/>
      <x:c r="R40"/>
      <x:c r="S40"/>
      <x:c r="T40"/>
    </x:row>
    <x:row r="41">
      <x:c r="G41"/>
      <x:c r="H41"/>
      <x:c r="I41"/>
      <x:c r="J41" s="17"/>
      <x:c r="K41" s="17"/>
      <x:c r="L41" s="17"/>
      <x:c r="M41" s="17"/>
      <x:c r="N41" s="17"/>
      <x:c r="O41" s="19"/>
      <x:c r="P41"/>
      <x:c r="Q41" s="17"/>
      <x:c r="R41"/>
      <x:c r="S41"/>
      <x:c r="T41"/>
    </x:row>
    <x:row r="42">
      <x:c r="G42"/>
      <x:c r="H42"/>
      <x:c r="I42"/>
      <x:c r="J42" s="17"/>
      <x:c r="K42" s="17"/>
      <x:c r="L42" s="17"/>
      <x:c r="M42" s="17"/>
      <x:c r="N42" s="17"/>
      <x:c r="O42" s="19"/>
      <x:c r="P42"/>
      <x:c r="Q42" s="17"/>
      <x:c r="R42"/>
      <x:c r="S42"/>
      <x:c r="T42"/>
    </x:row>
    <x:row r="43">
      <x:c r="G43"/>
      <x:c r="H43"/>
      <x:c r="I43"/>
      <x:c r="J43" s="17"/>
      <x:c r="K43" s="17"/>
      <x:c r="L43" s="17"/>
      <x:c r="M43" s="17"/>
      <x:c r="N43" s="17"/>
      <x:c r="O43" s="19"/>
      <x:c r="P43"/>
      <x:c r="Q43" s="17"/>
      <x:c r="R43"/>
      <x:c r="S43"/>
      <x:c r="T43"/>
    </x:row>
    <x:row r="44">
      <x:c r="G44"/>
      <x:c r="H44"/>
      <x:c r="I44"/>
      <x:c r="J44" s="17"/>
      <x:c r="K44" s="17"/>
      <x:c r="L44" s="17"/>
      <x:c r="M44" s="17"/>
      <x:c r="N44" s="17"/>
      <x:c r="O44" s="19"/>
      <x:c r="P44"/>
      <x:c r="Q44" s="17"/>
      <x:c r="R44"/>
      <x:c r="S44"/>
      <x:c r="T44"/>
    </x:row>
    <x:row r="45">
      <x:c r="G45"/>
      <x:c r="H45"/>
      <x:c r="I45"/>
      <x:c r="J45" s="17"/>
      <x:c r="K45" s="17"/>
      <x:c r="L45" s="17"/>
      <x:c r="M45" s="17"/>
      <x:c r="N45" s="17"/>
      <x:c r="O45" s="19"/>
      <x:c r="P45"/>
      <x:c r="Q45" s="17"/>
      <x:c r="R45"/>
      <x:c r="S45"/>
      <x:c r="T45"/>
    </x:row>
    <x:row r="46">
      <x:c r="G46"/>
      <x:c r="H46"/>
      <x:c r="I46"/>
      <x:c r="J46" s="17"/>
      <x:c r="K46" s="17"/>
      <x:c r="L46" s="17"/>
      <x:c r="M46" s="17"/>
      <x:c r="N46" s="17"/>
      <x:c r="O46" s="19"/>
      <x:c r="P46"/>
      <x:c r="Q46" s="17"/>
      <x:c r="R46"/>
      <x:c r="S46"/>
      <x:c r="T46"/>
    </x:row>
    <x:row r="47">
      <x:c r="G47"/>
      <x:c r="H47"/>
      <x:c r="I47"/>
      <x:c r="J47" s="17"/>
      <x:c r="K47" s="17"/>
      <x:c r="L47" s="17"/>
      <x:c r="M47" s="17"/>
      <x:c r="N47" s="17"/>
      <x:c r="O47" s="19"/>
      <x:c r="P47"/>
      <x:c r="Q47" s="17"/>
      <x:c r="R47"/>
      <x:c r="S47"/>
      <x:c r="T47"/>
    </x:row>
    <x:row r="48">
      <x:c r="G48"/>
      <x:c r="H48"/>
      <x:c r="I48"/>
      <x:c r="J48" s="17"/>
      <x:c r="K48" s="17"/>
      <x:c r="L48" s="17"/>
      <x:c r="M48" s="17"/>
      <x:c r="N48" s="17"/>
      <x:c r="O48" s="19"/>
      <x:c r="P48"/>
      <x:c r="Q48" s="17"/>
      <x:c r="R48"/>
      <x:c r="S48"/>
      <x:c r="T48"/>
    </x:row>
    <x:row r="49">
      <x:c r="G49"/>
      <x:c r="H49"/>
      <x:c r="I49"/>
      <x:c r="J49" s="17"/>
      <x:c r="K49" s="17"/>
      <x:c r="L49" s="17"/>
      <x:c r="M49" s="17"/>
      <x:c r="N49" s="17"/>
      <x:c r="O49" s="19"/>
      <x:c r="P49"/>
      <x:c r="Q49" s="17"/>
      <x:c r="R49"/>
      <x:c r="S49"/>
      <x:c r="T49"/>
    </x:row>
    <x:row r="50">
      <x:c r="G50"/>
      <x:c r="H50"/>
      <x:c r="I50"/>
      <x:c r="J50" s="17"/>
      <x:c r="K50" s="17"/>
      <x:c r="L50" s="17"/>
      <x:c r="M50" s="17"/>
      <x:c r="N50" s="17"/>
      <x:c r="O50" s="19"/>
      <x:c r="P50"/>
      <x:c r="Q50" s="17"/>
      <x:c r="R50"/>
      <x:c r="S50"/>
      <x:c r="T50"/>
    </x:row>
    <x:row r="51">
      <x:c r="G51"/>
      <x:c r="H51"/>
      <x:c r="I51"/>
      <x:c r="J51" s="17"/>
      <x:c r="K51" s="17"/>
      <x:c r="L51" s="17"/>
      <x:c r="M51" s="17"/>
      <x:c r="N51" s="17"/>
      <x:c r="O51" s="19"/>
      <x:c r="P51"/>
      <x:c r="Q51" s="17"/>
      <x:c r="R51"/>
      <x:c r="S51"/>
      <x:c r="T51"/>
    </x:row>
    <x:row r="52">
      <x:c r="G52"/>
      <x:c r="H52"/>
      <x:c r="I52"/>
      <x:c r="J52" s="17"/>
      <x:c r="K52" s="17"/>
      <x:c r="L52" s="17"/>
      <x:c r="M52" s="17"/>
      <x:c r="N52" s="17"/>
      <x:c r="O52" s="19"/>
      <x:c r="P52"/>
      <x:c r="Q52" s="17"/>
      <x:c r="R52"/>
      <x:c r="S52"/>
      <x:c r="T52"/>
    </x:row>
    <x:row r="53">
      <x:c r="G53"/>
      <x:c r="H53"/>
      <x:c r="I53"/>
      <x:c r="J53" s="17"/>
      <x:c r="K53" s="17"/>
      <x:c r="L53" s="17"/>
      <x:c r="M53" s="17"/>
      <x:c r="N53" s="17"/>
      <x:c r="O53" s="19"/>
      <x:c r="P53"/>
      <x:c r="Q53" s="17"/>
      <x:c r="R53"/>
      <x:c r="S53"/>
      <x:c r="T53"/>
    </x:row>
    <x:row r="54">
      <x:c r="G54"/>
      <x:c r="H54"/>
      <x:c r="I54"/>
      <x:c r="J54" s="17"/>
      <x:c r="K54" s="17"/>
      <x:c r="L54" s="17"/>
      <x:c r="M54" s="17"/>
      <x:c r="N54" s="17"/>
      <x:c r="O54" s="19"/>
      <x:c r="P54"/>
      <x:c r="Q54" s="17"/>
      <x:c r="R54"/>
      <x:c r="S54"/>
      <x:c r="T54"/>
    </x:row>
    <x:row r="55">
      <x:c r="G55"/>
      <x:c r="H55"/>
      <x:c r="I55"/>
      <x:c r="J55" s="17"/>
      <x:c r="K55" s="17"/>
      <x:c r="L55" s="17"/>
      <x:c r="M55" s="17"/>
      <x:c r="N55" s="17"/>
      <x:c r="O55" s="19"/>
      <x:c r="P55"/>
      <x:c r="Q55" s="17"/>
      <x:c r="R55"/>
      <x:c r="S55"/>
      <x:c r="T55"/>
    </x:row>
    <x:row r="56">
      <x:c r="G56"/>
      <x:c r="H56"/>
      <x:c r="I56"/>
      <x:c r="J56" s="17"/>
      <x:c r="K56" s="17"/>
      <x:c r="L56" s="17"/>
      <x:c r="M56" s="17"/>
      <x:c r="N56" s="17"/>
      <x:c r="O56" s="19"/>
      <x:c r="P56"/>
      <x:c r="Q56" s="17"/>
      <x:c r="R56"/>
      <x:c r="S56"/>
      <x:c r="T56"/>
    </x:row>
    <x:row r="57">
      <x:c r="G57"/>
      <x:c r="H57"/>
      <x:c r="I57"/>
      <x:c r="J57" s="17"/>
      <x:c r="K57" s="17"/>
      <x:c r="L57" s="17"/>
      <x:c r="M57" s="17"/>
      <x:c r="N57" s="17"/>
      <x:c r="O57" s="19"/>
      <x:c r="P57"/>
      <x:c r="Q57" s="17"/>
      <x:c r="R57"/>
      <x:c r="S57"/>
      <x:c r="T57"/>
    </x:row>
    <x:row r="58">
      <x:c r="G58"/>
      <x:c r="H58"/>
      <x:c r="I58"/>
      <x:c r="J58" s="17"/>
      <x:c r="K58" s="17"/>
      <x:c r="L58" s="17"/>
      <x:c r="M58" s="17"/>
      <x:c r="N58" s="17"/>
      <x:c r="O58" s="19"/>
      <x:c r="P58"/>
      <x:c r="Q58" s="17"/>
      <x:c r="R58"/>
      <x:c r="S58"/>
      <x:c r="T58"/>
    </x:row>
    <x:row r="59">
      <x:c r="G59"/>
      <x:c r="H59"/>
      <x:c r="I59"/>
      <x:c r="J59" s="17"/>
      <x:c r="K59" s="17"/>
      <x:c r="L59" s="17"/>
      <x:c r="M59" s="17"/>
      <x:c r="N59" s="17"/>
      <x:c r="O59" s="19"/>
      <x:c r="P59"/>
      <x:c r="Q59" s="17"/>
      <x:c r="R59"/>
      <x:c r="S59"/>
      <x:c r="T59"/>
    </x:row>
    <x:row r="60">
      <x:c r="G60"/>
      <x:c r="H60"/>
      <x:c r="I60"/>
      <x:c r="J60" s="17"/>
      <x:c r="K60" s="17"/>
      <x:c r="L60" s="17"/>
      <x:c r="M60" s="17"/>
      <x:c r="N60" s="17"/>
      <x:c r="O60" s="19"/>
      <x:c r="P60"/>
      <x:c r="Q60" s="17"/>
      <x:c r="R60"/>
      <x:c r="S60"/>
      <x:c r="T60"/>
    </x:row>
    <x:row r="61">
      <x:c r="G61"/>
      <x:c r="H61"/>
      <x:c r="I61"/>
      <x:c r="J61" s="17"/>
      <x:c r="K61" s="17"/>
      <x:c r="L61" s="17"/>
      <x:c r="M61" s="17"/>
      <x:c r="N61" s="17"/>
      <x:c r="O61" s="19"/>
      <x:c r="P61"/>
      <x:c r="Q61" s="17"/>
      <x:c r="R61"/>
      <x:c r="S61"/>
      <x:c r="T61"/>
    </x:row>
    <x:row r="62">
      <x:c r="G62"/>
      <x:c r="H62"/>
      <x:c r="I62"/>
      <x:c r="J62" s="17"/>
      <x:c r="K62" s="17"/>
      <x:c r="L62" s="17"/>
      <x:c r="M62" s="17"/>
      <x:c r="N62" s="17"/>
      <x:c r="O62" s="19"/>
      <x:c r="P62"/>
      <x:c r="Q62" s="17"/>
      <x:c r="R62"/>
      <x:c r="S62"/>
      <x:c r="T62"/>
    </x:row>
    <x:row r="63">
      <x:c r="G63"/>
      <x:c r="H63"/>
      <x:c r="I63"/>
      <x:c r="J63" s="17"/>
      <x:c r="K63" s="17"/>
      <x:c r="L63" s="17"/>
      <x:c r="M63" s="17"/>
      <x:c r="N63" s="17"/>
      <x:c r="O63" s="19"/>
      <x:c r="P63"/>
      <x:c r="Q63" s="17"/>
      <x:c r="R63"/>
      <x:c r="S63"/>
      <x:c r="T63"/>
    </x:row>
    <x:row r="64">
      <x:c r="G64"/>
      <x:c r="H64"/>
      <x:c r="I64"/>
      <x:c r="J64" s="17"/>
      <x:c r="K64" s="17"/>
      <x:c r="L64" s="17"/>
      <x:c r="M64" s="17"/>
      <x:c r="N64" s="17"/>
      <x:c r="O64" s="19"/>
      <x:c r="P64"/>
      <x:c r="Q64" s="17"/>
      <x:c r="R64"/>
      <x:c r="S64"/>
      <x:c r="T64"/>
    </x:row>
    <x:row r="65">
      <x:c r="G65"/>
      <x:c r="H65"/>
      <x:c r="I65"/>
      <x:c r="J65" s="17"/>
      <x:c r="K65" s="17"/>
      <x:c r="L65" s="17"/>
      <x:c r="M65" s="17"/>
      <x:c r="N65" s="17"/>
      <x:c r="O65" s="19"/>
      <x:c r="P65"/>
      <x:c r="Q65" s="17"/>
      <x:c r="R65"/>
      <x:c r="S65"/>
      <x:c r="T65"/>
    </x:row>
    <x:row r="66">
      <x:c r="G66"/>
      <x:c r="H66"/>
      <x:c r="I66"/>
      <x:c r="J66" s="17"/>
      <x:c r="K66" s="17"/>
      <x:c r="L66" s="17"/>
      <x:c r="M66" s="17"/>
      <x:c r="N66" s="17"/>
      <x:c r="O66" s="19"/>
      <x:c r="P66"/>
      <x:c r="Q66" s="17"/>
      <x:c r="R66"/>
      <x:c r="S66"/>
      <x:c r="T66"/>
    </x:row>
    <x:row r="67">
      <x:c r="G67"/>
      <x:c r="H67"/>
      <x:c r="I67"/>
      <x:c r="J67" s="17"/>
      <x:c r="K67" s="17"/>
      <x:c r="L67" s="17"/>
      <x:c r="M67" s="17"/>
      <x:c r="N67" s="17"/>
      <x:c r="O67" s="19"/>
      <x:c r="P67"/>
      <x:c r="Q67" s="17"/>
      <x:c r="R67"/>
      <x:c r="S67"/>
      <x:c r="T67"/>
    </x:row>
    <x:row r="68">
      <x:c r="G68"/>
      <x:c r="H68"/>
      <x:c r="I68"/>
      <x:c r="J68" s="17"/>
      <x:c r="K68" s="17"/>
      <x:c r="L68" s="17"/>
      <x:c r="M68" s="17"/>
      <x:c r="N68" s="17"/>
      <x:c r="O68" s="19"/>
      <x:c r="P68"/>
      <x:c r="Q68" s="17"/>
      <x:c r="R68"/>
      <x:c r="S68"/>
      <x:c r="T68"/>
    </x:row>
    <x:row r="69">
      <x:c r="G69"/>
      <x:c r="H69"/>
      <x:c r="I69"/>
      <x:c r="J69" s="17"/>
      <x:c r="K69" s="17"/>
      <x:c r="L69" s="17"/>
      <x:c r="M69" s="17"/>
      <x:c r="N69" s="17"/>
      <x:c r="O69" s="19"/>
      <x:c r="P69"/>
      <x:c r="Q69" s="17"/>
      <x:c r="R69"/>
      <x:c r="S69"/>
      <x:c r="T69"/>
    </x:row>
    <x:row r="70">
      <x:c r="G70"/>
      <x:c r="H70"/>
      <x:c r="I70"/>
      <x:c r="J70" s="17"/>
      <x:c r="K70" s="17"/>
      <x:c r="L70" s="17"/>
      <x:c r="M70" s="17"/>
      <x:c r="N70" s="17"/>
      <x:c r="O70" s="19"/>
      <x:c r="P70"/>
      <x:c r="Q70" s="17"/>
      <x:c r="R70"/>
      <x:c r="S70"/>
      <x:c r="T70"/>
    </x:row>
    <x:row r="71">
      <x:c r="G71"/>
      <x:c r="H71"/>
      <x:c r="I71"/>
      <x:c r="J71" s="17"/>
      <x:c r="K71" s="17"/>
      <x:c r="L71" s="17"/>
      <x:c r="M71" s="17"/>
      <x:c r="N71" s="17"/>
      <x:c r="O71" s="19"/>
      <x:c r="P71"/>
      <x:c r="Q71" s="17"/>
      <x:c r="R71"/>
      <x:c r="S71"/>
      <x:c r="T71"/>
    </x:row>
    <x:row r="72">
      <x:c r="G72"/>
      <x:c r="H72"/>
      <x:c r="I72"/>
      <x:c r="J72" s="17"/>
      <x:c r="K72" s="17"/>
      <x:c r="L72" s="17"/>
      <x:c r="M72" s="17"/>
      <x:c r="N72" s="17"/>
      <x:c r="O72" s="19"/>
      <x:c r="P72"/>
      <x:c r="Q72" s="17"/>
      <x:c r="R72"/>
      <x:c r="S72"/>
      <x:c r="T72"/>
    </x:row>
    <x:row r="73">
      <x:c r="G73"/>
      <x:c r="H73"/>
      <x:c r="I73"/>
      <x:c r="J73" s="17"/>
      <x:c r="K73" s="17"/>
      <x:c r="L73" s="17"/>
      <x:c r="M73" s="17"/>
      <x:c r="N73" s="17"/>
      <x:c r="O73" s="19"/>
      <x:c r="P73"/>
      <x:c r="Q73" s="17"/>
      <x:c r="R73"/>
      <x:c r="S73"/>
      <x:c r="T73"/>
    </x:row>
    <x:row r="74">
      <x:c r="G74"/>
      <x:c r="H74"/>
      <x:c r="I74"/>
      <x:c r="J74" s="17"/>
      <x:c r="K74" s="17"/>
      <x:c r="L74" s="17"/>
      <x:c r="M74" s="17"/>
      <x:c r="N74" s="17"/>
      <x:c r="O74" s="19"/>
      <x:c r="P74"/>
      <x:c r="Q74" s="17"/>
      <x:c r="R74"/>
      <x:c r="S74"/>
      <x:c r="T74"/>
    </x:row>
    <x:row r="75">
      <x:c r="G75"/>
      <x:c r="H75"/>
      <x:c r="I75"/>
      <x:c r="J75" s="17"/>
      <x:c r="K75" s="17"/>
      <x:c r="L75" s="17"/>
      <x:c r="M75" s="17"/>
      <x:c r="N75" s="17"/>
      <x:c r="O75" s="19"/>
      <x:c r="P75"/>
      <x:c r="Q75" s="17"/>
      <x:c r="R75"/>
      <x:c r="S75"/>
      <x:c r="T75"/>
    </x:row>
    <x:row r="76">
      <x:c r="G76"/>
      <x:c r="H76"/>
      <x:c r="I76"/>
      <x:c r="J76" s="17"/>
      <x:c r="K76" s="17"/>
      <x:c r="L76" s="17"/>
      <x:c r="M76" s="17"/>
      <x:c r="N76" s="17"/>
      <x:c r="O76" s="19"/>
      <x:c r="P76"/>
      <x:c r="Q76" s="17"/>
      <x:c r="R76"/>
      <x:c r="S76"/>
      <x:c r="T76"/>
    </x:row>
    <x:row r="77">
      <x:c r="G77"/>
      <x:c r="H77"/>
      <x:c r="I77"/>
      <x:c r="J77" s="17"/>
      <x:c r="K77" s="17"/>
      <x:c r="L77" s="17"/>
      <x:c r="M77" s="17"/>
      <x:c r="N77" s="17"/>
      <x:c r="O77" s="19"/>
      <x:c r="P77"/>
      <x:c r="Q77" s="17"/>
      <x:c r="R77"/>
      <x:c r="S77"/>
      <x:c r="T77"/>
    </x:row>
    <x:row r="78">
      <x:c r="G78"/>
      <x:c r="H78"/>
      <x:c r="I78"/>
      <x:c r="J78" s="17"/>
      <x:c r="K78" s="17"/>
      <x:c r="L78" s="17"/>
      <x:c r="M78" s="17"/>
      <x:c r="N78" s="17"/>
      <x:c r="O78" s="19"/>
      <x:c r="P78"/>
      <x:c r="Q78" s="17"/>
      <x:c r="R78"/>
      <x:c r="S78"/>
      <x:c r="T78"/>
    </x:row>
    <x:row r="79">
      <x:c r="G79"/>
      <x:c r="H79"/>
      <x:c r="I79"/>
      <x:c r="J79" s="17"/>
      <x:c r="K79" s="17"/>
      <x:c r="L79" s="17"/>
      <x:c r="M79" s="17"/>
      <x:c r="N79" s="17"/>
      <x:c r="O79" s="19"/>
      <x:c r="P79"/>
      <x:c r="Q79" s="17"/>
      <x:c r="R79"/>
      <x:c r="S79"/>
      <x:c r="T79"/>
    </x:row>
    <x:row r="80">
      <x:c r="G80"/>
      <x:c r="H80"/>
      <x:c r="I80"/>
      <x:c r="J80" s="17"/>
      <x:c r="K80" s="17"/>
      <x:c r="L80" s="17"/>
      <x:c r="M80" s="17"/>
      <x:c r="N80" s="17"/>
      <x:c r="O80" s="19"/>
      <x:c r="P80"/>
      <x:c r="Q80" s="17"/>
      <x:c r="R80"/>
      <x:c r="S80"/>
      <x:c r="T80"/>
    </x:row>
    <x:row r="81">
      <x:c r="G81"/>
      <x:c r="H81"/>
      <x:c r="I81"/>
      <x:c r="J81" s="17"/>
      <x:c r="K81" s="17"/>
      <x:c r="L81" s="17"/>
      <x:c r="M81" s="17"/>
      <x:c r="N81" s="17"/>
      <x:c r="O81" s="19"/>
      <x:c r="P81"/>
      <x:c r="Q81" s="17"/>
      <x:c r="R81"/>
      <x:c r="S81"/>
      <x:c r="T81"/>
    </x:row>
    <x:row r="82">
      <x:c r="G82"/>
      <x:c r="H82"/>
      <x:c r="I82"/>
      <x:c r="J82" s="17"/>
      <x:c r="K82" s="17"/>
      <x:c r="L82" s="17"/>
      <x:c r="M82" s="17"/>
      <x:c r="N82" s="17"/>
      <x:c r="O82" s="19"/>
      <x:c r="P82"/>
      <x:c r="Q82" s="17"/>
      <x:c r="R82"/>
      <x:c r="S82"/>
      <x:c r="T82"/>
    </x:row>
    <x:row r="83">
      <x:c r="G83"/>
      <x:c r="H83"/>
      <x:c r="I83"/>
      <x:c r="J83" s="17"/>
      <x:c r="K83" s="17"/>
      <x:c r="L83" s="17"/>
      <x:c r="M83" s="17"/>
      <x:c r="N83" s="17"/>
      <x:c r="O83" s="19"/>
      <x:c r="P83"/>
      <x:c r="Q83" s="17"/>
      <x:c r="R83"/>
      <x:c r="S83"/>
      <x:c r="T83"/>
    </x:row>
    <x:row r="84">
      <x:c r="G84"/>
      <x:c r="H84"/>
      <x:c r="I84"/>
      <x:c r="J84" s="17"/>
      <x:c r="K84" s="17"/>
      <x:c r="L84" s="17"/>
      <x:c r="M84" s="17"/>
      <x:c r="N84" s="17"/>
      <x:c r="O84" s="19"/>
      <x:c r="P84"/>
      <x:c r="Q84" s="17"/>
      <x:c r="R84"/>
      <x:c r="S84"/>
      <x:c r="T84"/>
    </x:row>
    <x:row r="85">
      <x:c r="G85"/>
      <x:c r="H85"/>
      <x:c r="I85"/>
      <x:c r="J85" s="17"/>
      <x:c r="K85" s="17"/>
      <x:c r="L85" s="17"/>
      <x:c r="M85" s="17"/>
      <x:c r="N85" s="17"/>
      <x:c r="O85" s="19"/>
      <x:c r="P85"/>
      <x:c r="Q85" s="17"/>
      <x:c r="R85"/>
      <x:c r="S85"/>
      <x:c r="T85"/>
    </x:row>
    <x:row r="86">
      <x:c r="G86"/>
      <x:c r="H86"/>
      <x:c r="I86"/>
      <x:c r="J86" s="17"/>
      <x:c r="K86" s="17"/>
      <x:c r="L86" s="17"/>
      <x:c r="M86" s="17"/>
      <x:c r="N86" s="17"/>
      <x:c r="O86" s="19"/>
      <x:c r="P86"/>
      <x:c r="Q86" s="17"/>
      <x:c r="R86"/>
      <x:c r="S86"/>
      <x:c r="T86"/>
    </x:row>
    <x:row r="87">
      <x:c r="G87"/>
      <x:c r="H87"/>
      <x:c r="I87"/>
      <x:c r="J87" s="17"/>
      <x:c r="K87" s="17"/>
      <x:c r="L87" s="17"/>
      <x:c r="M87" s="17"/>
      <x:c r="N87" s="17"/>
      <x:c r="O87" s="19"/>
      <x:c r="P87"/>
      <x:c r="Q87" s="17"/>
      <x:c r="R87"/>
      <x:c r="S87"/>
      <x:c r="T87"/>
    </x:row>
    <x:row r="88">
      <x:c r="G88"/>
      <x:c r="H88"/>
      <x:c r="I88"/>
      <x:c r="J88" s="17"/>
      <x:c r="K88" s="17"/>
      <x:c r="L88" s="17"/>
      <x:c r="M88" s="17"/>
      <x:c r="N88" s="17"/>
      <x:c r="O88" s="19"/>
      <x:c r="P88"/>
      <x:c r="Q88" s="17"/>
      <x:c r="R88"/>
      <x:c r="S88"/>
      <x:c r="T88"/>
    </x:row>
    <x:row r="89">
      <x:c r="G89"/>
      <x:c r="H89"/>
      <x:c r="I89"/>
      <x:c r="J89" s="17"/>
      <x:c r="K89" s="17"/>
      <x:c r="L89" s="17"/>
      <x:c r="M89" s="17"/>
      <x:c r="N89" s="17"/>
      <x:c r="O89" s="19"/>
      <x:c r="P89"/>
      <x:c r="Q89" s="17"/>
      <x:c r="R89"/>
      <x:c r="S89"/>
      <x:c r="T89"/>
    </x:row>
    <x:row r="90">
      <x:c r="G90"/>
      <x:c r="H90"/>
      <x:c r="I90"/>
      <x:c r="J90" s="17"/>
      <x:c r="K90" s="17"/>
      <x:c r="L90" s="17"/>
      <x:c r="M90" s="17"/>
      <x:c r="N90" s="17"/>
      <x:c r="O90" s="19"/>
      <x:c r="P90"/>
      <x:c r="Q90" s="17"/>
      <x:c r="R90"/>
      <x:c r="S90"/>
      <x:c r="T90"/>
    </x:row>
    <x:row r="91">
      <x:c r="G91"/>
      <x:c r="H91"/>
      <x:c r="I91"/>
      <x:c r="J91" s="17"/>
      <x:c r="K91" s="17"/>
      <x:c r="L91" s="17"/>
      <x:c r="M91" s="17"/>
      <x:c r="N91" s="17"/>
      <x:c r="O91" s="19"/>
      <x:c r="P91"/>
      <x:c r="Q91" s="17"/>
      <x:c r="R91"/>
      <x:c r="S91"/>
      <x:c r="T91"/>
    </x:row>
    <x:row r="92">
      <x:c r="G92"/>
      <x:c r="H92"/>
      <x:c r="I92"/>
      <x:c r="J92" s="17"/>
      <x:c r="K92" s="17"/>
      <x:c r="L92" s="17"/>
      <x:c r="M92" s="17"/>
      <x:c r="N92" s="17"/>
      <x:c r="O92" s="19"/>
      <x:c r="P92"/>
      <x:c r="Q92" s="17"/>
      <x:c r="R92"/>
      <x:c r="S92"/>
      <x:c r="T92"/>
    </x:row>
    <x:row r="93">
      <x:c r="G93"/>
      <x:c r="H93"/>
      <x:c r="I93"/>
      <x:c r="J93" s="17"/>
      <x:c r="K93" s="17"/>
      <x:c r="L93" s="17"/>
      <x:c r="M93" s="17"/>
      <x:c r="N93" s="17"/>
      <x:c r="O93" s="19"/>
      <x:c r="P93"/>
      <x:c r="Q93" s="17"/>
      <x:c r="R93"/>
      <x:c r="S93"/>
      <x:c r="T93"/>
    </x:row>
    <x:row r="94">
      <x:c r="G94"/>
      <x:c r="H94"/>
      <x:c r="I94"/>
      <x:c r="J94" s="17"/>
      <x:c r="K94" s="17"/>
      <x:c r="L94" s="17"/>
      <x:c r="M94" s="17"/>
      <x:c r="N94" s="17"/>
      <x:c r="O94" s="19"/>
      <x:c r="P94"/>
      <x:c r="Q94" s="17"/>
      <x:c r="R94"/>
      <x:c r="S94"/>
      <x:c r="T94"/>
    </x:row>
    <x:row r="95">
      <x:c r="G95"/>
      <x:c r="H95"/>
      <x:c r="I95"/>
      <x:c r="J95" s="17"/>
      <x:c r="K95" s="17"/>
      <x:c r="L95" s="17"/>
      <x:c r="M95" s="17"/>
      <x:c r="N95" s="17"/>
      <x:c r="O95" s="19"/>
      <x:c r="P95"/>
      <x:c r="Q95" s="17"/>
      <x:c r="R95"/>
      <x:c r="S95"/>
      <x:c r="T95"/>
    </x:row>
    <x:row r="96">
      <x:c r="G96"/>
      <x:c r="H96"/>
      <x:c r="I96"/>
      <x:c r="J96" s="17"/>
      <x:c r="K96" s="17"/>
      <x:c r="L96" s="17"/>
      <x:c r="M96" s="17"/>
      <x:c r="N96" s="17"/>
      <x:c r="O96" s="19"/>
      <x:c r="P96"/>
      <x:c r="Q96" s="17"/>
      <x:c r="R96"/>
      <x:c r="S96"/>
      <x:c r="T96"/>
    </x:row>
    <x:row r="97">
      <x:c r="G97"/>
      <x:c r="H97"/>
      <x:c r="I97"/>
      <x:c r="J97" s="17"/>
      <x:c r="K97" s="17"/>
      <x:c r="L97" s="17"/>
      <x:c r="M97" s="17"/>
      <x:c r="N97" s="17"/>
      <x:c r="O97" s="19"/>
      <x:c r="P97"/>
      <x:c r="Q97" s="17"/>
      <x:c r="R97"/>
      <x:c r="S97"/>
      <x:c r="T97"/>
    </x:row>
    <x:row r="98">
      <x:c r="G98"/>
      <x:c r="H98"/>
      <x:c r="I98"/>
      <x:c r="J98" s="17"/>
      <x:c r="K98" s="17"/>
      <x:c r="L98" s="17"/>
      <x:c r="M98" s="17"/>
      <x:c r="N98" s="17"/>
      <x:c r="O98" s="19"/>
      <x:c r="P98"/>
      <x:c r="Q98" s="17"/>
      <x:c r="R98"/>
      <x:c r="S98"/>
      <x:c r="T98"/>
    </x:row>
    <x:row r="99">
      <x:c r="G99"/>
      <x:c r="H99"/>
      <x:c r="I99"/>
      <x:c r="J99" s="17"/>
      <x:c r="K99" s="17"/>
      <x:c r="L99" s="17"/>
      <x:c r="M99" s="17"/>
      <x:c r="N99" s="17"/>
      <x:c r="O99" s="19"/>
      <x:c r="P99"/>
      <x:c r="Q99" s="17"/>
      <x:c r="R99"/>
      <x:c r="S99"/>
      <x:c r="T99"/>
    </x:row>
    <x:row r="100">
      <x:c r="G100"/>
      <x:c r="H100"/>
      <x:c r="I100"/>
      <x:c r="J100" s="17"/>
      <x:c r="K100" s="17"/>
      <x:c r="L100" s="17"/>
      <x:c r="M100" s="17"/>
      <x:c r="N100" s="17"/>
      <x:c r="O100" s="19"/>
      <x:c r="P100"/>
      <x:c r="Q100" s="17"/>
      <x:c r="R100"/>
      <x:c r="S100"/>
      <x:c r="T100"/>
    </x:row>
    <x:row r="101">
      <x:c r="G101"/>
      <x:c r="H101"/>
      <x:c r="I101"/>
      <x:c r="J101" s="17"/>
      <x:c r="K101" s="17"/>
      <x:c r="L101" s="17"/>
      <x:c r="M101" s="17"/>
      <x:c r="N101" s="17"/>
      <x:c r="O101" s="19"/>
      <x:c r="P101"/>
      <x:c r="Q101" s="17"/>
      <x:c r="R101"/>
      <x:c r="S101"/>
      <x:c r="T101"/>
    </x:row>
    <x:row r="102">
      <x:c r="G102"/>
      <x:c r="H102"/>
      <x:c r="I102"/>
      <x:c r="J102" s="17"/>
      <x:c r="K102" s="17"/>
      <x:c r="L102" s="17"/>
      <x:c r="M102" s="17"/>
      <x:c r="N102" s="17"/>
      <x:c r="O102" s="19"/>
      <x:c r="P102"/>
      <x:c r="Q102" s="17"/>
      <x:c r="R102"/>
      <x:c r="S102"/>
      <x:c r="T102"/>
    </x:row>
    <x:row r="103">
      <x:c r="G103"/>
      <x:c r="H103"/>
      <x:c r="I103"/>
      <x:c r="J103" s="17"/>
      <x:c r="K103" s="17"/>
      <x:c r="L103" s="17"/>
      <x:c r="M103" s="17"/>
      <x:c r="N103" s="17"/>
      <x:c r="O103" s="19"/>
      <x:c r="P103"/>
      <x:c r="Q103" s="17"/>
      <x:c r="R103"/>
      <x:c r="S103"/>
      <x:c r="T103"/>
    </x:row>
    <x:row r="104">
      <x:c r="G104"/>
      <x:c r="H104"/>
      <x:c r="I104"/>
      <x:c r="J104" s="17"/>
      <x:c r="K104" s="17"/>
      <x:c r="L104" s="17"/>
      <x:c r="M104" s="17"/>
      <x:c r="N104" s="17"/>
      <x:c r="O104" s="19"/>
      <x:c r="P104"/>
      <x:c r="Q104" s="17"/>
      <x:c r="R104"/>
      <x:c r="S104"/>
      <x:c r="T104"/>
    </x:row>
    <x:row r="105">
      <x:c r="G105"/>
      <x:c r="H105"/>
      <x:c r="I105"/>
      <x:c r="J105" s="17"/>
      <x:c r="K105" s="17"/>
      <x:c r="L105" s="17"/>
      <x:c r="M105" s="17"/>
      <x:c r="N105" s="17"/>
      <x:c r="O105" s="19"/>
      <x:c r="P105"/>
      <x:c r="Q105" s="17"/>
      <x:c r="R105"/>
      <x:c r="S105"/>
      <x:c r="T105"/>
    </x:row>
    <x:row r="106">
      <x:c r="G106"/>
      <x:c r="H106"/>
      <x:c r="I106"/>
      <x:c r="J106" s="17"/>
      <x:c r="K106" s="17"/>
      <x:c r="L106" s="17"/>
      <x:c r="M106" s="17"/>
      <x:c r="N106" s="17"/>
      <x:c r="O106" s="19"/>
      <x:c r="P106"/>
      <x:c r="Q106" s="17"/>
      <x:c r="R106"/>
      <x:c r="S106"/>
      <x:c r="T106"/>
    </x:row>
    <x:row r="107">
      <x:c r="G107"/>
      <x:c r="H107"/>
      <x:c r="I107"/>
      <x:c r="J107" s="17"/>
      <x:c r="K107" s="17"/>
      <x:c r="L107" s="17"/>
      <x:c r="M107" s="17"/>
      <x:c r="N107" s="17"/>
      <x:c r="O107" s="19"/>
      <x:c r="P107"/>
      <x:c r="Q107" s="17"/>
      <x:c r="R107"/>
      <x:c r="S107"/>
      <x:c r="T107"/>
    </x:row>
    <x:row r="108">
      <x:c r="G108"/>
      <x:c r="H108"/>
      <x:c r="I108"/>
      <x:c r="J108" s="17"/>
      <x:c r="K108" s="17"/>
      <x:c r="L108" s="17"/>
      <x:c r="M108" s="17"/>
      <x:c r="N108" s="17"/>
      <x:c r="O108" s="19"/>
      <x:c r="P108"/>
      <x:c r="Q108" s="17"/>
      <x:c r="R108"/>
      <x:c r="S108"/>
      <x:c r="T108"/>
    </x:row>
    <x:row r="109">
      <x:c r="G109"/>
      <x:c r="H109"/>
      <x:c r="I109"/>
      <x:c r="J109" s="17"/>
      <x:c r="K109" s="17"/>
      <x:c r="L109" s="17"/>
      <x:c r="M109" s="17"/>
      <x:c r="N109" s="17"/>
      <x:c r="O109" s="19"/>
      <x:c r="P109"/>
      <x:c r="Q109" s="17"/>
      <x:c r="R109"/>
      <x:c r="S109"/>
      <x:c r="T109"/>
    </x:row>
    <x:row r="110">
      <x:c r="G110"/>
      <x:c r="H110"/>
      <x:c r="I110"/>
      <x:c r="J110" s="17"/>
      <x:c r="K110" s="17"/>
      <x:c r="L110" s="17"/>
      <x:c r="M110" s="17"/>
      <x:c r="N110" s="17"/>
      <x:c r="O110" s="19"/>
      <x:c r="P110"/>
      <x:c r="Q110" s="17"/>
      <x:c r="R110"/>
      <x:c r="S110"/>
      <x:c r="T110"/>
    </x:row>
    <x:row r="111">
      <x:c r="G111"/>
      <x:c r="H111"/>
      <x:c r="I111"/>
      <x:c r="J111" s="17"/>
      <x:c r="K111" s="17"/>
      <x:c r="L111" s="17"/>
      <x:c r="M111" s="17"/>
      <x:c r="N111" s="17"/>
      <x:c r="O111" s="19"/>
      <x:c r="P111"/>
      <x:c r="Q111" s="17"/>
      <x:c r="R111"/>
      <x:c r="S111"/>
      <x:c r="T111"/>
    </x:row>
    <x:row r="112">
      <x:c r="G112"/>
      <x:c r="H112"/>
      <x:c r="I112"/>
      <x:c r="J112" s="17"/>
      <x:c r="K112" s="17"/>
      <x:c r="L112" s="17"/>
      <x:c r="M112" s="17"/>
      <x:c r="N112" s="17"/>
      <x:c r="O112" s="19"/>
      <x:c r="P112"/>
      <x:c r="Q112" s="17"/>
      <x:c r="R112"/>
      <x:c r="S112"/>
      <x:c r="T112"/>
    </x:row>
    <x:row r="113">
      <x:c r="G113"/>
      <x:c r="H113"/>
      <x:c r="I113"/>
      <x:c r="J113" s="17"/>
      <x:c r="K113" s="17"/>
      <x:c r="L113" s="17"/>
      <x:c r="M113" s="17"/>
      <x:c r="N113" s="17"/>
      <x:c r="O113" s="19"/>
      <x:c r="P113"/>
      <x:c r="Q113" s="17"/>
      <x:c r="R113"/>
      <x:c r="S113"/>
      <x:c r="T113"/>
    </x:row>
    <x:row r="114">
      <x:c r="G114"/>
      <x:c r="H114"/>
      <x:c r="I114"/>
      <x:c r="J114" s="17"/>
      <x:c r="K114" s="17"/>
      <x:c r="L114" s="17"/>
      <x:c r="M114" s="17"/>
      <x:c r="N114" s="17"/>
      <x:c r="O114" s="19"/>
      <x:c r="P114"/>
      <x:c r="Q114" s="17"/>
      <x:c r="R114"/>
      <x:c r="S114"/>
      <x:c r="T114"/>
    </x:row>
    <x:row r="115">
      <x:c r="G115"/>
      <x:c r="H115"/>
      <x:c r="I115"/>
      <x:c r="J115" s="17"/>
      <x:c r="K115" s="17"/>
      <x:c r="L115" s="17"/>
      <x:c r="M115" s="17"/>
      <x:c r="N115" s="17"/>
      <x:c r="O115" s="19"/>
      <x:c r="P115"/>
      <x:c r="Q115" s="17"/>
      <x:c r="R115"/>
      <x:c r="S115"/>
      <x:c r="T115"/>
    </x:row>
    <x:row r="116">
      <x:c r="G116"/>
      <x:c r="H116"/>
      <x:c r="I116"/>
      <x:c r="J116" s="17"/>
      <x:c r="K116" s="17"/>
      <x:c r="L116" s="17"/>
      <x:c r="M116" s="17"/>
      <x:c r="N116" s="17"/>
      <x:c r="O116" s="19"/>
      <x:c r="P116"/>
      <x:c r="Q116" s="17"/>
      <x:c r="R116"/>
      <x:c r="S116"/>
      <x:c r="T116"/>
    </x:row>
    <x:row r="117">
      <x:c r="G117"/>
      <x:c r="H117"/>
      <x:c r="I117"/>
      <x:c r="J117" s="17"/>
      <x:c r="K117" s="17"/>
      <x:c r="L117" s="17"/>
      <x:c r="M117" s="17"/>
      <x:c r="N117" s="17"/>
      <x:c r="O117" s="19"/>
      <x:c r="P117"/>
      <x:c r="Q117" s="17"/>
      <x:c r="R117"/>
      <x:c r="S117"/>
      <x:c r="T117"/>
    </x:row>
    <x:row r="118">
      <x:c r="G118"/>
      <x:c r="H118"/>
      <x:c r="I118"/>
      <x:c r="J118" s="17"/>
      <x:c r="K118" s="17"/>
      <x:c r="L118" s="17"/>
      <x:c r="M118" s="17"/>
      <x:c r="N118" s="17"/>
      <x:c r="O118" s="19"/>
      <x:c r="P118"/>
      <x:c r="Q118" s="17"/>
      <x:c r="R118"/>
      <x:c r="S118"/>
      <x:c r="T118"/>
    </x:row>
    <x:row r="119">
      <x:c r="G119"/>
      <x:c r="H119"/>
      <x:c r="I119"/>
      <x:c r="J119" s="17"/>
      <x:c r="K119" s="17"/>
      <x:c r="L119" s="17"/>
      <x:c r="M119" s="17"/>
      <x:c r="N119" s="17"/>
      <x:c r="O119" s="19"/>
      <x:c r="P119"/>
      <x:c r="Q119" s="17"/>
      <x:c r="R119"/>
      <x:c r="S119"/>
      <x:c r="T119"/>
    </x:row>
    <x:row r="120">
      <x:c r="G120"/>
      <x:c r="H120"/>
      <x:c r="I120"/>
      <x:c r="J120" s="17"/>
      <x:c r="K120" s="17"/>
      <x:c r="L120" s="17"/>
      <x:c r="M120" s="17"/>
      <x:c r="N120" s="17"/>
      <x:c r="O120" s="19"/>
      <x:c r="P120"/>
      <x:c r="Q120" s="17"/>
      <x:c r="R120"/>
      <x:c r="S120"/>
      <x:c r="T120"/>
    </x:row>
    <x:row r="121">
      <x:c r="G121"/>
      <x:c r="H121"/>
      <x:c r="I121"/>
      <x:c r="J121" s="17"/>
      <x:c r="K121" s="17"/>
      <x:c r="L121" s="17"/>
      <x:c r="M121" s="17"/>
      <x:c r="N121" s="17"/>
      <x:c r="O121" s="19"/>
      <x:c r="P121"/>
      <x:c r="Q121" s="17"/>
      <x:c r="R121"/>
      <x:c r="S121"/>
      <x:c r="T121"/>
    </x:row>
    <x:row r="122">
      <x:c r="G122"/>
      <x:c r="H122"/>
      <x:c r="I122"/>
      <x:c r="J122" s="17"/>
      <x:c r="K122" s="17"/>
      <x:c r="L122" s="17"/>
      <x:c r="M122" s="17"/>
      <x:c r="N122" s="17"/>
      <x:c r="O122" s="19"/>
      <x:c r="P122"/>
      <x:c r="Q122" s="17"/>
      <x:c r="R122"/>
      <x:c r="S122"/>
      <x:c r="T122"/>
    </x:row>
    <x:row r="123">
      <x:c r="G123"/>
      <x:c r="H123"/>
      <x:c r="I123"/>
      <x:c r="J123" s="17"/>
      <x:c r="K123" s="17"/>
      <x:c r="L123" s="17"/>
      <x:c r="M123" s="17"/>
      <x:c r="N123" s="17"/>
      <x:c r="O123" s="19"/>
      <x:c r="P123"/>
      <x:c r="Q123" s="17"/>
      <x:c r="R123"/>
      <x:c r="S123"/>
      <x:c r="T123"/>
    </x:row>
    <x:row r="124">
      <x:c r="G124"/>
      <x:c r="H124"/>
      <x:c r="I124"/>
      <x:c r="J124" s="17"/>
      <x:c r="K124" s="17"/>
      <x:c r="L124" s="17"/>
      <x:c r="M124" s="17"/>
      <x:c r="N124" s="17"/>
      <x:c r="O124" s="19"/>
      <x:c r="P124"/>
      <x:c r="Q124" s="17"/>
      <x:c r="R124"/>
      <x:c r="S124"/>
      <x:c r="T124"/>
    </x:row>
    <x:row r="125">
      <x:c r="G125"/>
      <x:c r="H125"/>
      <x:c r="I125"/>
      <x:c r="J125" s="17"/>
      <x:c r="K125" s="17"/>
      <x:c r="L125" s="17"/>
      <x:c r="M125" s="17"/>
      <x:c r="N125" s="17"/>
      <x:c r="O125" s="19"/>
      <x:c r="P125"/>
      <x:c r="Q125" s="17"/>
      <x:c r="R125"/>
      <x:c r="S125"/>
      <x:c r="T125"/>
    </x:row>
    <x:row r="126">
      <x:c r="G126"/>
      <x:c r="H126"/>
      <x:c r="I126"/>
      <x:c r="J126" s="17"/>
      <x:c r="K126" s="17"/>
      <x:c r="L126" s="17"/>
      <x:c r="M126" s="17"/>
      <x:c r="N126" s="17"/>
      <x:c r="O126" s="19"/>
      <x:c r="P126"/>
      <x:c r="Q126" s="17"/>
      <x:c r="R126"/>
      <x:c r="S126"/>
      <x:c r="T126"/>
    </x:row>
    <x:row r="127">
      <x:c r="G127"/>
      <x:c r="H127"/>
      <x:c r="I127"/>
      <x:c r="J127" s="17"/>
      <x:c r="K127" s="17"/>
      <x:c r="L127" s="17"/>
      <x:c r="M127" s="17"/>
      <x:c r="N127" s="17"/>
      <x:c r="O127" s="19"/>
      <x:c r="P127"/>
      <x:c r="Q127" s="17"/>
      <x:c r="R127"/>
      <x:c r="S127"/>
      <x:c r="T127"/>
    </x:row>
    <x:row r="128">
      <x:c r="G128"/>
      <x:c r="H128"/>
      <x:c r="I128"/>
      <x:c r="J128" s="17"/>
      <x:c r="K128" s="17"/>
      <x:c r="L128" s="17"/>
      <x:c r="M128" s="17"/>
      <x:c r="N128" s="17"/>
      <x:c r="O128" s="19"/>
      <x:c r="P128"/>
      <x:c r="Q128" s="17"/>
      <x:c r="R128"/>
      <x:c r="S128"/>
      <x:c r="T128"/>
    </x:row>
    <x:row r="129">
      <x:c r="G129"/>
      <x:c r="H129"/>
      <x:c r="I129"/>
      <x:c r="J129" s="17"/>
      <x:c r="K129" s="17"/>
      <x:c r="L129" s="17"/>
      <x:c r="M129" s="17"/>
      <x:c r="N129" s="17"/>
      <x:c r="O129" s="19"/>
      <x:c r="P129"/>
      <x:c r="Q129" s="17"/>
      <x:c r="R129"/>
      <x:c r="S129"/>
      <x:c r="T129"/>
    </x:row>
    <x:row r="130">
      <x:c r="G130"/>
      <x:c r="H130"/>
      <x:c r="I130"/>
      <x:c r="J130" s="17"/>
      <x:c r="K130" s="17"/>
      <x:c r="L130" s="17"/>
      <x:c r="M130" s="17"/>
      <x:c r="N130" s="17"/>
      <x:c r="O130" s="19"/>
      <x:c r="P130"/>
      <x:c r="Q130" s="17"/>
      <x:c r="R130"/>
      <x:c r="S130"/>
      <x:c r="T130"/>
    </x:row>
    <x:row r="131">
      <x:c r="G131"/>
      <x:c r="H131"/>
      <x:c r="I131"/>
      <x:c r="J131" s="17"/>
      <x:c r="K131" s="17"/>
      <x:c r="L131" s="17"/>
      <x:c r="M131" s="17"/>
      <x:c r="N131" s="17"/>
      <x:c r="O131" s="19"/>
      <x:c r="P131"/>
      <x:c r="Q131" s="17"/>
      <x:c r="R131"/>
      <x:c r="S131"/>
      <x:c r="T131"/>
    </x:row>
    <x:row r="132">
      <x:c r="G132"/>
      <x:c r="H132"/>
      <x:c r="I132"/>
      <x:c r="J132" s="17"/>
      <x:c r="K132" s="17"/>
      <x:c r="L132" s="17"/>
      <x:c r="M132" s="17"/>
      <x:c r="N132" s="17"/>
      <x:c r="O132" s="19"/>
      <x:c r="P132"/>
      <x:c r="Q132" s="17"/>
      <x:c r="R132"/>
      <x:c r="S132"/>
      <x:c r="T132"/>
    </x:row>
    <x:row r="133">
      <x:c r="G133"/>
      <x:c r="H133"/>
      <x:c r="I133"/>
      <x:c r="J133" s="17"/>
      <x:c r="K133" s="17"/>
      <x:c r="L133" s="17"/>
      <x:c r="M133" s="17"/>
      <x:c r="N133" s="17"/>
      <x:c r="O133" s="19"/>
      <x:c r="P133"/>
      <x:c r="Q133" s="17"/>
      <x:c r="R133"/>
      <x:c r="S133"/>
      <x:c r="T133"/>
    </x:row>
    <x:row r="134">
      <x:c r="G134"/>
      <x:c r="H134"/>
      <x:c r="I134"/>
      <x:c r="J134" s="17"/>
      <x:c r="K134" s="17"/>
      <x:c r="L134" s="17"/>
      <x:c r="M134" s="17"/>
      <x:c r="N134" s="17"/>
      <x:c r="O134" s="19"/>
      <x:c r="P134"/>
      <x:c r="Q134" s="17"/>
      <x:c r="R134"/>
      <x:c r="S134"/>
      <x:c r="T134"/>
    </x:row>
    <x:row r="135">
      <x:c r="G135"/>
      <x:c r="H135"/>
      <x:c r="I135"/>
      <x:c r="J135" s="17"/>
      <x:c r="K135" s="17"/>
      <x:c r="L135" s="17"/>
      <x:c r="M135" s="17"/>
      <x:c r="N135" s="17"/>
      <x:c r="O135" s="19"/>
      <x:c r="P135"/>
      <x:c r="Q135" s="17"/>
      <x:c r="R135"/>
      <x:c r="S135"/>
      <x:c r="T135"/>
    </x:row>
    <x:row r="136">
      <x:c r="G136"/>
      <x:c r="H136"/>
      <x:c r="I136"/>
      <x:c r="J136" s="17"/>
      <x:c r="K136" s="17"/>
      <x:c r="L136" s="17"/>
      <x:c r="M136" s="17"/>
      <x:c r="N136" s="17"/>
      <x:c r="O136" s="19"/>
      <x:c r="P136"/>
      <x:c r="Q136" s="17"/>
      <x:c r="R136"/>
      <x:c r="S136"/>
      <x:c r="T136"/>
    </x:row>
    <x:row r="137">
      <x:c r="G137"/>
      <x:c r="H137"/>
      <x:c r="I137"/>
      <x:c r="J137" s="17"/>
      <x:c r="K137" s="17"/>
      <x:c r="L137" s="17"/>
      <x:c r="M137" s="17"/>
      <x:c r="N137" s="17"/>
      <x:c r="O137" s="19"/>
      <x:c r="P137"/>
      <x:c r="Q137" s="17"/>
      <x:c r="R137"/>
      <x:c r="S137"/>
      <x:c r="T137"/>
    </x:row>
    <x:row r="138">
      <x:c r="G138"/>
      <x:c r="H138"/>
      <x:c r="I138"/>
      <x:c r="J138" s="17"/>
      <x:c r="K138" s="17"/>
      <x:c r="L138" s="17"/>
      <x:c r="M138" s="17"/>
      <x:c r="N138" s="17"/>
      <x:c r="O138" s="19"/>
      <x:c r="P138"/>
      <x:c r="Q138" s="17"/>
      <x:c r="R138"/>
      <x:c r="S138"/>
      <x:c r="T138"/>
    </x:row>
    <x:row r="139">
      <x:c r="G139"/>
      <x:c r="H139"/>
      <x:c r="I139"/>
      <x:c r="J139" s="17"/>
      <x:c r="K139" s="17"/>
      <x:c r="L139" s="17"/>
      <x:c r="M139" s="17"/>
      <x:c r="N139" s="17"/>
      <x:c r="O139" s="19"/>
      <x:c r="P139"/>
      <x:c r="Q139" s="17"/>
      <x:c r="R139"/>
      <x:c r="S139"/>
      <x:c r="T139"/>
    </x:row>
    <x:row r="140">
      <x:c r="G140"/>
      <x:c r="H140"/>
      <x:c r="I140"/>
      <x:c r="J140" s="17"/>
      <x:c r="K140" s="17"/>
      <x:c r="L140" s="17"/>
      <x:c r="M140" s="17"/>
      <x:c r="N140" s="17"/>
      <x:c r="O140" s="19"/>
      <x:c r="P140"/>
      <x:c r="Q140" s="17"/>
      <x:c r="R140"/>
      <x:c r="S140"/>
      <x:c r="T140"/>
    </x:row>
    <x:row r="141">
      <x:c r="G141"/>
      <x:c r="H141"/>
      <x:c r="I141"/>
      <x:c r="J141" s="17"/>
      <x:c r="K141" s="17"/>
      <x:c r="L141" s="17"/>
      <x:c r="M141" s="17"/>
      <x:c r="N141" s="17"/>
      <x:c r="O141" s="19"/>
      <x:c r="P141"/>
      <x:c r="Q141" s="17"/>
      <x:c r="R141"/>
      <x:c r="S141"/>
      <x:c r="T141"/>
    </x:row>
    <x:row r="142">
      <x:c r="G142"/>
      <x:c r="H142"/>
      <x:c r="I142"/>
      <x:c r="J142" s="17"/>
      <x:c r="K142" s="17"/>
      <x:c r="L142" s="17"/>
      <x:c r="M142" s="17"/>
      <x:c r="N142" s="17"/>
      <x:c r="O142" s="19"/>
      <x:c r="P142"/>
      <x:c r="Q142" s="17"/>
      <x:c r="R142"/>
      <x:c r="S142"/>
      <x:c r="T142"/>
    </x:row>
    <x:row r="143">
      <x:c r="G143"/>
      <x:c r="H143"/>
      <x:c r="I143"/>
      <x:c r="J143" s="17"/>
      <x:c r="K143" s="17"/>
      <x:c r="L143" s="17"/>
      <x:c r="M143" s="17"/>
      <x:c r="N143" s="17"/>
      <x:c r="O143" s="19"/>
      <x:c r="P143"/>
      <x:c r="Q143" s="17"/>
      <x:c r="R143"/>
      <x:c r="S143"/>
      <x:c r="T143"/>
    </x:row>
    <x:row r="144">
      <x:c r="G144"/>
      <x:c r="H144"/>
      <x:c r="I144"/>
      <x:c r="J144" s="17"/>
      <x:c r="K144" s="17"/>
      <x:c r="L144" s="17"/>
      <x:c r="M144" s="17"/>
      <x:c r="N144" s="17"/>
      <x:c r="O144" s="19"/>
      <x:c r="P144"/>
      <x:c r="Q144" s="17"/>
      <x:c r="R144"/>
      <x:c r="S144"/>
      <x:c r="T144"/>
    </x:row>
    <x:row r="145">
      <x:c r="G145"/>
      <x:c r="H145"/>
      <x:c r="I145"/>
      <x:c r="J145" s="17"/>
      <x:c r="K145" s="17"/>
      <x:c r="L145" s="17"/>
      <x:c r="M145" s="17"/>
      <x:c r="N145" s="17"/>
      <x:c r="O145" s="19"/>
      <x:c r="P145"/>
      <x:c r="Q145" s="17"/>
      <x:c r="R145"/>
      <x:c r="S145"/>
      <x:c r="T145"/>
    </x:row>
    <x:row r="146">
      <x:c r="G146"/>
      <x:c r="H146"/>
      <x:c r="I146"/>
      <x:c r="J146" s="17"/>
      <x:c r="K146" s="17"/>
      <x:c r="L146" s="17"/>
      <x:c r="M146" s="17"/>
      <x:c r="N146" s="17"/>
      <x:c r="O146" s="19"/>
      <x:c r="P146"/>
      <x:c r="Q146" s="17"/>
      <x:c r="R146"/>
      <x:c r="S146"/>
      <x:c r="T146"/>
    </x:row>
    <x:row r="147">
      <x:c r="G147"/>
      <x:c r="H147"/>
      <x:c r="I147"/>
      <x:c r="J147" s="17"/>
      <x:c r="K147" s="17"/>
      <x:c r="L147" s="17"/>
      <x:c r="M147" s="17"/>
      <x:c r="N147" s="17"/>
      <x:c r="O147" s="19"/>
      <x:c r="P147"/>
      <x:c r="Q147" s="17"/>
      <x:c r="R147"/>
      <x:c r="S147"/>
      <x:c r="T147"/>
    </x:row>
    <x:row r="148">
      <x:c r="G148"/>
      <x:c r="H148"/>
      <x:c r="I148"/>
      <x:c r="J148" s="17"/>
      <x:c r="K148" s="17"/>
      <x:c r="L148" s="17"/>
      <x:c r="M148" s="17"/>
      <x:c r="N148" s="17"/>
      <x:c r="O148" s="19"/>
      <x:c r="P148"/>
      <x:c r="Q148" s="17"/>
      <x:c r="R148"/>
      <x:c r="S148"/>
      <x:c r="T148"/>
    </x:row>
    <x:row r="149">
      <x:c r="G149"/>
      <x:c r="H149"/>
      <x:c r="I149"/>
      <x:c r="J149" s="17"/>
      <x:c r="K149" s="17"/>
      <x:c r="L149" s="17"/>
      <x:c r="M149" s="17"/>
      <x:c r="N149" s="17"/>
      <x:c r="O149" s="19"/>
      <x:c r="P149"/>
      <x:c r="Q149" s="17"/>
      <x:c r="R149"/>
      <x:c r="S149"/>
      <x:c r="T149"/>
    </x:row>
    <x:row r="150">
      <x:c r="G150"/>
      <x:c r="H150"/>
      <x:c r="I150"/>
      <x:c r="J150" s="17"/>
      <x:c r="K150" s="17"/>
      <x:c r="L150" s="17"/>
      <x:c r="M150" s="17"/>
      <x:c r="N150" s="17"/>
      <x:c r="O150" s="19"/>
      <x:c r="P150"/>
      <x:c r="Q150" s="17"/>
      <x:c r="R150"/>
      <x:c r="S150"/>
      <x:c r="T150"/>
    </x:row>
    <x:row r="151">
      <x:c r="G151"/>
      <x:c r="H151"/>
      <x:c r="I151"/>
      <x:c r="J151" s="17"/>
      <x:c r="K151" s="17"/>
      <x:c r="L151" s="17"/>
      <x:c r="M151" s="17"/>
      <x:c r="N151" s="17"/>
      <x:c r="O151" s="19"/>
      <x:c r="P151"/>
      <x:c r="Q151" s="17"/>
      <x:c r="R151"/>
      <x:c r="S151"/>
      <x:c r="T151"/>
    </x:row>
    <x:row r="152">
      <x:c r="G152"/>
      <x:c r="H152"/>
      <x:c r="I152"/>
      <x:c r="J152" s="17"/>
      <x:c r="K152" s="17"/>
      <x:c r="L152" s="17"/>
      <x:c r="M152" s="17"/>
      <x:c r="N152" s="17"/>
      <x:c r="O152" s="19"/>
      <x:c r="P152"/>
      <x:c r="Q152" s="17"/>
      <x:c r="R152"/>
      <x:c r="S152"/>
      <x:c r="T152"/>
    </x:row>
    <x:row r="153">
      <x:c r="G153"/>
      <x:c r="H153"/>
      <x:c r="I153"/>
      <x:c r="J153" s="17"/>
      <x:c r="K153" s="17"/>
      <x:c r="L153" s="17"/>
      <x:c r="M153" s="17"/>
      <x:c r="N153" s="17"/>
      <x:c r="O153" s="19"/>
      <x:c r="P153"/>
      <x:c r="Q153" s="17"/>
      <x:c r="R153"/>
      <x:c r="S153"/>
      <x:c r="T153"/>
    </x:row>
    <x:row r="154">
      <x:c r="G154"/>
      <x:c r="H154"/>
      <x:c r="I154"/>
      <x:c r="J154" s="17"/>
      <x:c r="K154" s="17"/>
      <x:c r="L154" s="17"/>
      <x:c r="M154" s="17"/>
      <x:c r="N154" s="17"/>
      <x:c r="O154" s="19"/>
      <x:c r="P154"/>
      <x:c r="Q154" s="17"/>
      <x:c r="R154"/>
      <x:c r="S154"/>
      <x:c r="T154"/>
    </x:row>
    <x:row r="155">
      <x:c r="G155"/>
      <x:c r="H155"/>
      <x:c r="I155"/>
      <x:c r="J155" s="17"/>
      <x:c r="K155" s="17"/>
      <x:c r="L155" s="17"/>
      <x:c r="M155" s="17"/>
      <x:c r="N155" s="17"/>
      <x:c r="O155" s="19"/>
      <x:c r="P155"/>
      <x:c r="Q155" s="17"/>
      <x:c r="R155"/>
      <x:c r="S155"/>
      <x:c r="T155"/>
    </x:row>
    <x:row r="156">
      <x:c r="G156"/>
      <x:c r="H156"/>
      <x:c r="I156"/>
      <x:c r="J156" s="17"/>
      <x:c r="K156" s="17"/>
      <x:c r="L156" s="17"/>
      <x:c r="M156" s="17"/>
      <x:c r="N156" s="17"/>
      <x:c r="O156" s="19"/>
      <x:c r="P156"/>
      <x:c r="Q156" s="17"/>
      <x:c r="R156"/>
      <x:c r="S156"/>
      <x:c r="T156"/>
    </x:row>
    <x:row r="157">
      <x:c r="G157"/>
      <x:c r="H157"/>
      <x:c r="I157"/>
      <x:c r="J157" s="17"/>
      <x:c r="K157" s="17"/>
      <x:c r="L157" s="17"/>
      <x:c r="M157" s="17"/>
      <x:c r="N157" s="17"/>
      <x:c r="O157" s="19"/>
      <x:c r="P157"/>
      <x:c r="Q157" s="17"/>
      <x:c r="R157"/>
      <x:c r="S157"/>
      <x:c r="T157"/>
    </x:row>
    <x:row r="158">
      <x:c r="G158"/>
      <x:c r="H158"/>
      <x:c r="I158"/>
      <x:c r="J158" s="17"/>
      <x:c r="K158" s="17"/>
      <x:c r="L158" s="17"/>
      <x:c r="M158" s="17"/>
      <x:c r="N158" s="17"/>
      <x:c r="O158" s="19"/>
      <x:c r="P158"/>
      <x:c r="Q158" s="17"/>
      <x:c r="R158"/>
      <x:c r="S158"/>
      <x:c r="T158"/>
    </x:row>
    <x:row r="159">
      <x:c r="G159"/>
      <x:c r="H159"/>
      <x:c r="I159"/>
      <x:c r="J159" s="17"/>
      <x:c r="K159" s="17"/>
      <x:c r="L159" s="17"/>
      <x:c r="M159" s="17"/>
      <x:c r="N159" s="17"/>
      <x:c r="O159" s="19"/>
      <x:c r="P159"/>
      <x:c r="Q159" s="17"/>
      <x:c r="R159"/>
      <x:c r="S159"/>
      <x:c r="T159"/>
    </x:row>
    <x:row r="160">
      <x:c r="G160"/>
      <x:c r="H160"/>
      <x:c r="I160"/>
      <x:c r="J160" s="17"/>
      <x:c r="K160" s="17"/>
      <x:c r="L160" s="17"/>
      <x:c r="M160" s="17"/>
      <x:c r="N160" s="17"/>
      <x:c r="O160" s="19"/>
      <x:c r="P160"/>
      <x:c r="Q160" s="17"/>
      <x:c r="R160"/>
      <x:c r="S160"/>
      <x:c r="T160"/>
    </x:row>
    <x:row r="161">
      <x:c r="G161"/>
      <x:c r="H161"/>
      <x:c r="I161"/>
      <x:c r="J161" s="17"/>
      <x:c r="K161" s="17"/>
      <x:c r="L161" s="17"/>
      <x:c r="M161" s="17"/>
      <x:c r="N161" s="17"/>
      <x:c r="O161" s="19"/>
      <x:c r="P161"/>
      <x:c r="Q161" s="17"/>
      <x:c r="R161"/>
      <x:c r="S161"/>
      <x:c r="T161"/>
    </x:row>
    <x:row r="162">
      <x:c r="G162"/>
      <x:c r="H162"/>
      <x:c r="I162"/>
      <x:c r="J162" s="17"/>
      <x:c r="K162" s="17"/>
      <x:c r="L162" s="17"/>
      <x:c r="M162" s="17"/>
      <x:c r="N162" s="17"/>
      <x:c r="O162" s="19"/>
      <x:c r="P162"/>
      <x:c r="Q162" s="17"/>
      <x:c r="R162"/>
      <x:c r="S162"/>
      <x:c r="T162"/>
    </x:row>
    <x:row r="163">
      <x:c r="G163"/>
      <x:c r="H163"/>
      <x:c r="I163"/>
      <x:c r="J163" s="17"/>
      <x:c r="K163" s="17"/>
      <x:c r="L163" s="17"/>
      <x:c r="M163" s="17"/>
      <x:c r="N163" s="17"/>
      <x:c r="O163" s="19"/>
      <x:c r="P163"/>
      <x:c r="Q163" s="17"/>
      <x:c r="R163"/>
      <x:c r="S163"/>
      <x:c r="T163"/>
    </x:row>
    <x:row r="164">
      <x:c r="G164"/>
      <x:c r="H164"/>
      <x:c r="I164"/>
      <x:c r="J164" s="17"/>
      <x:c r="K164" s="17"/>
      <x:c r="L164" s="17"/>
      <x:c r="M164" s="17"/>
      <x:c r="N164" s="17"/>
      <x:c r="O164" s="19"/>
      <x:c r="P164"/>
      <x:c r="Q164" s="17"/>
      <x:c r="R164"/>
      <x:c r="S164"/>
      <x:c r="T164"/>
    </x:row>
    <x:row r="165">
      <x:c r="G165"/>
      <x:c r="H165"/>
      <x:c r="I165"/>
      <x:c r="J165" s="17"/>
      <x:c r="K165" s="17"/>
      <x:c r="L165" s="17"/>
      <x:c r="M165" s="17"/>
      <x:c r="N165" s="17"/>
      <x:c r="O165" s="19"/>
      <x:c r="P165"/>
      <x:c r="Q165" s="17"/>
      <x:c r="R165"/>
      <x:c r="S165"/>
      <x:c r="T165"/>
    </x:row>
    <x:row r="166">
      <x:c r="G166"/>
      <x:c r="H166"/>
      <x:c r="I166"/>
      <x:c r="J166" s="17"/>
      <x:c r="K166" s="17"/>
      <x:c r="L166" s="17"/>
      <x:c r="M166" s="17"/>
      <x:c r="N166" s="17"/>
      <x:c r="O166" s="19"/>
      <x:c r="P166"/>
      <x:c r="Q166" s="17"/>
      <x:c r="R166"/>
      <x:c r="S166"/>
      <x:c r="T166"/>
    </x:row>
    <x:row r="167">
      <x:c r="G167"/>
      <x:c r="H167"/>
      <x:c r="I167"/>
      <x:c r="J167" s="17"/>
      <x:c r="K167" s="17"/>
      <x:c r="L167" s="17"/>
      <x:c r="M167" s="17"/>
      <x:c r="N167" s="17"/>
      <x:c r="O167" s="19"/>
      <x:c r="P167"/>
      <x:c r="Q167" s="17"/>
      <x:c r="R167"/>
      <x:c r="S167"/>
      <x:c r="T167"/>
    </x:row>
    <x:row r="168">
      <x:c r="G168"/>
      <x:c r="H168"/>
      <x:c r="I168"/>
      <x:c r="J168" s="17"/>
      <x:c r="K168" s="17"/>
      <x:c r="L168" s="17"/>
      <x:c r="M168" s="17"/>
      <x:c r="N168" s="17"/>
      <x:c r="O168" s="19"/>
      <x:c r="P168"/>
      <x:c r="Q168" s="17"/>
      <x:c r="R168"/>
      <x:c r="S168"/>
      <x:c r="T168"/>
    </x:row>
    <x:row r="169">
      <x:c r="G169"/>
      <x:c r="H169"/>
      <x:c r="I169"/>
      <x:c r="J169" s="17"/>
      <x:c r="K169" s="17"/>
      <x:c r="L169" s="17"/>
      <x:c r="M169" s="17"/>
      <x:c r="N169" s="17"/>
      <x:c r="O169" s="19"/>
      <x:c r="P169"/>
      <x:c r="Q169" s="17"/>
      <x:c r="R169"/>
      <x:c r="S169"/>
      <x:c r="T169"/>
    </x:row>
    <x:row r="170">
      <x:c r="G170"/>
      <x:c r="H170"/>
      <x:c r="I170"/>
      <x:c r="J170" s="17"/>
      <x:c r="K170" s="17"/>
      <x:c r="L170" s="17"/>
      <x:c r="M170" s="17"/>
      <x:c r="N170" s="17"/>
      <x:c r="O170" s="19"/>
      <x:c r="P170"/>
      <x:c r="Q170" s="17"/>
      <x:c r="R170"/>
      <x:c r="S170"/>
      <x:c r="T170"/>
    </x:row>
    <x:row r="171">
      <x:c r="G171"/>
      <x:c r="H171"/>
      <x:c r="I171"/>
      <x:c r="J171" s="17"/>
      <x:c r="K171" s="17"/>
      <x:c r="L171" s="17"/>
      <x:c r="M171" s="17"/>
      <x:c r="N171" s="17"/>
      <x:c r="O171" s="19"/>
      <x:c r="P171"/>
      <x:c r="Q171" s="17"/>
      <x:c r="R171"/>
      <x:c r="S171"/>
      <x:c r="T171"/>
    </x:row>
    <x:row r="172">
      <x:c r="G172"/>
      <x:c r="H172"/>
      <x:c r="I172"/>
      <x:c r="J172" s="17"/>
      <x:c r="K172" s="17"/>
      <x:c r="L172" s="17"/>
      <x:c r="M172" s="17"/>
      <x:c r="N172" s="17"/>
      <x:c r="O172" s="19"/>
      <x:c r="P172"/>
      <x:c r="Q172" s="17"/>
      <x:c r="R172"/>
      <x:c r="S172"/>
      <x:c r="T172"/>
    </x:row>
    <x:row r="173">
      <x:c r="G173"/>
      <x:c r="H173"/>
      <x:c r="I173"/>
      <x:c r="J173" s="17"/>
      <x:c r="K173" s="17"/>
      <x:c r="L173" s="17"/>
      <x:c r="M173" s="17"/>
      <x:c r="N173" s="17"/>
      <x:c r="O173" s="19"/>
      <x:c r="P173"/>
      <x:c r="Q173" s="17"/>
      <x:c r="R173"/>
      <x:c r="S173"/>
      <x:c r="T173"/>
    </x:row>
    <x:row r="174">
      <x:c r="G174"/>
      <x:c r="H174"/>
      <x:c r="I174"/>
      <x:c r="J174" s="17"/>
      <x:c r="K174" s="17"/>
      <x:c r="L174" s="17"/>
      <x:c r="M174" s="17"/>
      <x:c r="N174" s="17"/>
      <x:c r="O174" s="19"/>
      <x:c r="P174"/>
      <x:c r="Q174" s="17"/>
      <x:c r="R174"/>
      <x:c r="S174"/>
      <x:c r="T174"/>
    </x:row>
    <x:row r="175">
      <x:c r="G175"/>
      <x:c r="H175"/>
      <x:c r="I175"/>
      <x:c r="J175" s="17"/>
      <x:c r="K175" s="17"/>
      <x:c r="L175" s="17"/>
      <x:c r="M175" s="17"/>
      <x:c r="N175" s="17"/>
      <x:c r="O175" s="19"/>
      <x:c r="P175"/>
      <x:c r="Q175" s="17"/>
      <x:c r="R175"/>
      <x:c r="S175"/>
      <x:c r="T175"/>
    </x:row>
    <x:row r="176">
      <x:c r="G176"/>
      <x:c r="H176"/>
      <x:c r="I176"/>
      <x:c r="J176" s="17"/>
      <x:c r="K176" s="17"/>
      <x:c r="L176" s="17"/>
      <x:c r="M176" s="17"/>
      <x:c r="N176" s="17"/>
      <x:c r="O176" s="19"/>
      <x:c r="P176"/>
      <x:c r="Q176" s="17"/>
      <x:c r="R176"/>
      <x:c r="S176"/>
      <x:c r="T176"/>
    </x:row>
    <x:row r="177">
      <x:c r="G177"/>
      <x:c r="H177"/>
      <x:c r="I177"/>
      <x:c r="J177" s="17"/>
      <x:c r="K177" s="17"/>
      <x:c r="L177" s="17"/>
      <x:c r="M177" s="17"/>
      <x:c r="N177" s="17"/>
      <x:c r="O177" s="19"/>
      <x:c r="P177"/>
      <x:c r="Q177" s="17"/>
      <x:c r="R177"/>
      <x:c r="S177"/>
      <x:c r="T177"/>
    </x:row>
    <x:row r="178">
      <x:c r="G178"/>
      <x:c r="H178"/>
      <x:c r="I178"/>
      <x:c r="J178" s="17"/>
      <x:c r="K178" s="17"/>
      <x:c r="L178" s="17"/>
      <x:c r="M178" s="17"/>
      <x:c r="N178" s="17"/>
      <x:c r="O178" s="19"/>
      <x:c r="P178"/>
      <x:c r="Q178" s="17"/>
      <x:c r="R178"/>
      <x:c r="S178"/>
      <x:c r="T178"/>
    </x:row>
    <x:row r="179">
      <x:c r="G179"/>
      <x:c r="H179"/>
      <x:c r="I179"/>
      <x:c r="J179" s="17"/>
      <x:c r="K179" s="17"/>
      <x:c r="L179" s="17"/>
      <x:c r="M179" s="17"/>
      <x:c r="N179" s="17"/>
      <x:c r="O179" s="19"/>
      <x:c r="P179"/>
      <x:c r="Q179" s="17"/>
      <x:c r="R179"/>
      <x:c r="S179"/>
      <x:c r="T179"/>
    </x:row>
    <x:row r="180">
      <x:c r="G180"/>
      <x:c r="H180"/>
      <x:c r="I180"/>
      <x:c r="J180" s="17"/>
      <x:c r="K180" s="17"/>
      <x:c r="L180" s="17"/>
      <x:c r="M180" s="17"/>
      <x:c r="N180" s="17"/>
      <x:c r="O180" s="19"/>
      <x:c r="P180"/>
      <x:c r="Q180" s="17"/>
      <x:c r="R180"/>
      <x:c r="S180"/>
      <x:c r="T180"/>
    </x:row>
    <x:row r="181">
      <x:c r="G181"/>
      <x:c r="H181"/>
      <x:c r="I181"/>
      <x:c r="J181" s="17"/>
      <x:c r="K181" s="17"/>
      <x:c r="L181" s="17"/>
      <x:c r="M181" s="17"/>
      <x:c r="N181" s="17"/>
      <x:c r="O181" s="19"/>
      <x:c r="P181"/>
      <x:c r="Q181" s="17"/>
      <x:c r="R181"/>
      <x:c r="S181"/>
      <x:c r="T181"/>
    </x:row>
    <x:row r="182">
      <x:c r="G182"/>
      <x:c r="H182"/>
      <x:c r="I182"/>
      <x:c r="J182" s="17"/>
      <x:c r="K182" s="17"/>
      <x:c r="L182" s="17"/>
      <x:c r="M182" s="17"/>
      <x:c r="N182" s="17"/>
      <x:c r="O182" s="19"/>
      <x:c r="P182"/>
      <x:c r="Q182" s="17"/>
      <x:c r="R182"/>
      <x:c r="S182"/>
      <x:c r="T182"/>
    </x:row>
    <x:row r="183">
      <x:c r="G183"/>
      <x:c r="H183"/>
      <x:c r="I183"/>
      <x:c r="J183" s="17"/>
      <x:c r="K183" s="17"/>
      <x:c r="L183" s="17"/>
      <x:c r="M183" s="17"/>
      <x:c r="N183" s="17"/>
      <x:c r="O183" s="19"/>
      <x:c r="P183"/>
      <x:c r="Q183" s="17"/>
      <x:c r="R183"/>
      <x:c r="S183"/>
      <x:c r="T183"/>
    </x:row>
    <x:row r="184">
      <x:c r="G184"/>
      <x:c r="H184"/>
      <x:c r="I184"/>
      <x:c r="J184" s="17"/>
      <x:c r="K184" s="17"/>
      <x:c r="L184" s="17"/>
      <x:c r="M184" s="17"/>
      <x:c r="N184" s="17"/>
      <x:c r="O184" s="19"/>
      <x:c r="P184"/>
      <x:c r="Q184" s="17"/>
      <x:c r="R184"/>
      <x:c r="S184"/>
      <x:c r="T184"/>
    </x:row>
    <x:row r="185">
      <x:c r="G185"/>
      <x:c r="H185"/>
      <x:c r="I185"/>
      <x:c r="J185" s="17"/>
      <x:c r="K185" s="17"/>
      <x:c r="L185" s="17"/>
      <x:c r="M185" s="17"/>
      <x:c r="N185" s="17"/>
      <x:c r="O185" s="19"/>
      <x:c r="P185"/>
      <x:c r="Q185" s="17"/>
      <x:c r="R185"/>
      <x:c r="S185"/>
      <x:c r="T185"/>
    </x:row>
    <x:row r="186">
      <x:c r="G186"/>
      <x:c r="H186"/>
      <x:c r="I186"/>
      <x:c r="J186" s="17"/>
      <x:c r="K186" s="17"/>
      <x:c r="L186" s="17"/>
      <x:c r="M186" s="17"/>
      <x:c r="N186" s="17"/>
      <x:c r="O186" s="19"/>
      <x:c r="P186"/>
      <x:c r="Q186" s="17"/>
      <x:c r="R186"/>
      <x:c r="S186"/>
      <x:c r="T186"/>
    </x:row>
    <x:row r="187">
      <x:c r="G187"/>
      <x:c r="H187"/>
      <x:c r="I187"/>
      <x:c r="J187" s="17"/>
      <x:c r="K187" s="17"/>
      <x:c r="L187" s="17"/>
      <x:c r="M187" s="17"/>
      <x:c r="N187" s="17"/>
      <x:c r="O187" s="19"/>
      <x:c r="P187"/>
      <x:c r="Q187" s="17"/>
      <x:c r="R187"/>
      <x:c r="S187"/>
      <x:c r="T187"/>
    </x:row>
    <x:row r="188">
      <x:c r="G188"/>
      <x:c r="H188"/>
      <x:c r="I188"/>
      <x:c r="J188" s="17"/>
      <x:c r="K188" s="17"/>
      <x:c r="L188" s="17"/>
      <x:c r="M188" s="17"/>
      <x:c r="N188" s="17"/>
      <x:c r="O188" s="19"/>
      <x:c r="P188"/>
      <x:c r="Q188" s="17"/>
      <x:c r="R188"/>
      <x:c r="S188"/>
      <x:c r="T188"/>
    </x:row>
    <x:row r="189">
      <x:c r="G189"/>
      <x:c r="H189"/>
      <x:c r="I189"/>
      <x:c r="J189" s="17"/>
      <x:c r="K189" s="17"/>
      <x:c r="L189" s="17"/>
      <x:c r="M189" s="17"/>
      <x:c r="N189" s="17"/>
      <x:c r="O189" s="19"/>
      <x:c r="P189"/>
      <x:c r="Q189" s="17"/>
      <x:c r="R189"/>
      <x:c r="S189"/>
      <x:c r="T189"/>
    </x:row>
    <x:row r="190">
      <x:c r="G190"/>
      <x:c r="H190"/>
      <x:c r="I190"/>
      <x:c r="J190" s="17"/>
      <x:c r="K190" s="17"/>
      <x:c r="L190" s="17"/>
      <x:c r="M190" s="17"/>
      <x:c r="N190" s="17"/>
      <x:c r="O190" s="19"/>
      <x:c r="P190"/>
      <x:c r="Q190" s="17"/>
      <x:c r="R190"/>
      <x:c r="S190"/>
      <x:c r="T190"/>
    </x:row>
    <x:row r="191">
      <x:c r="G191"/>
      <x:c r="H191"/>
      <x:c r="I191"/>
      <x:c r="J191" s="17"/>
      <x:c r="K191" s="17"/>
      <x:c r="L191" s="17"/>
      <x:c r="M191" s="17"/>
      <x:c r="N191" s="17"/>
      <x:c r="O191" s="19"/>
      <x:c r="P191"/>
      <x:c r="Q191" s="17"/>
      <x:c r="R191"/>
      <x:c r="S191"/>
      <x:c r="T191"/>
    </x:row>
    <x:row r="192">
      <x:c r="G192"/>
      <x:c r="H192"/>
      <x:c r="I192"/>
      <x:c r="J192" s="17"/>
      <x:c r="K192" s="17"/>
      <x:c r="L192" s="17"/>
      <x:c r="M192" s="17"/>
      <x:c r="N192" s="17"/>
      <x:c r="O192" s="19"/>
      <x:c r="P192"/>
      <x:c r="Q192" s="17"/>
      <x:c r="R192"/>
      <x:c r="S192"/>
      <x:c r="T192"/>
    </x:row>
    <x:row r="193">
      <x:c r="G193"/>
      <x:c r="H193"/>
      <x:c r="I193"/>
      <x:c r="J193" s="17"/>
      <x:c r="K193" s="17"/>
      <x:c r="L193" s="17"/>
      <x:c r="M193" s="17"/>
      <x:c r="N193" s="17"/>
      <x:c r="O193" s="19"/>
      <x:c r="P193"/>
      <x:c r="Q193" s="17"/>
      <x:c r="R193"/>
      <x:c r="S193"/>
      <x:c r="T193"/>
    </x:row>
    <x:row r="194">
      <x:c r="G194"/>
      <x:c r="H194"/>
      <x:c r="I194"/>
      <x:c r="J194" s="17"/>
      <x:c r="K194" s="17"/>
      <x:c r="L194" s="17"/>
      <x:c r="M194" s="17"/>
      <x:c r="N194" s="17"/>
      <x:c r="O194" s="19"/>
      <x:c r="P194"/>
      <x:c r="Q194" s="17"/>
      <x:c r="R194"/>
      <x:c r="S194"/>
      <x:c r="T194"/>
    </x:row>
    <x:row r="195">
      <x:c r="G195"/>
      <x:c r="H195"/>
      <x:c r="I195"/>
      <x:c r="J195" s="17"/>
      <x:c r="K195" s="17"/>
      <x:c r="L195" s="17"/>
      <x:c r="M195" s="17"/>
      <x:c r="N195" s="17"/>
      <x:c r="O195" s="19"/>
      <x:c r="P195"/>
      <x:c r="Q195" s="17"/>
      <x:c r="R195"/>
      <x:c r="S195"/>
      <x:c r="T195"/>
    </x:row>
    <x:row r="196">
      <x:c r="G196"/>
      <x:c r="H196"/>
      <x:c r="I196"/>
      <x:c r="J196" s="17"/>
      <x:c r="K196" s="17"/>
      <x:c r="L196" s="17"/>
      <x:c r="M196" s="17"/>
      <x:c r="N196" s="17"/>
      <x:c r="O196" s="19"/>
      <x:c r="P196"/>
      <x:c r="Q196" s="17"/>
      <x:c r="R196"/>
      <x:c r="S196"/>
      <x:c r="T196"/>
    </x:row>
    <x:row r="197">
      <x:c r="G197"/>
      <x:c r="H197"/>
      <x:c r="I197"/>
      <x:c r="J197" s="17"/>
      <x:c r="K197" s="17"/>
      <x:c r="L197" s="17"/>
      <x:c r="M197" s="17"/>
      <x:c r="N197" s="17"/>
      <x:c r="O197" s="19"/>
      <x:c r="P197"/>
      <x:c r="Q197" s="17"/>
      <x:c r="R197"/>
      <x:c r="S197"/>
      <x:c r="T197"/>
    </x:row>
    <x:row r="198">
      <x:c r="G198"/>
      <x:c r="H198"/>
      <x:c r="I198"/>
      <x:c r="J198" s="17"/>
      <x:c r="K198" s="17"/>
      <x:c r="L198" s="17"/>
      <x:c r="M198" s="17"/>
      <x:c r="N198" s="17"/>
      <x:c r="O198" s="19"/>
      <x:c r="P198"/>
      <x:c r="Q198" s="17"/>
      <x:c r="R198"/>
      <x:c r="S198"/>
      <x:c r="T198"/>
    </x:row>
    <x:row r="199">
      <x:c r="G199"/>
      <x:c r="H199"/>
      <x:c r="I199"/>
      <x:c r="J199" s="17"/>
      <x:c r="K199" s="17"/>
      <x:c r="L199" s="17"/>
      <x:c r="M199" s="17"/>
      <x:c r="N199" s="17"/>
      <x:c r="O199" s="19"/>
      <x:c r="P199"/>
      <x:c r="Q199" s="17"/>
      <x:c r="R199"/>
      <x:c r="S199"/>
      <x:c r="T199"/>
    </x:row>
    <x:row r="200">
      <x:c r="G200"/>
      <x:c r="H200"/>
      <x:c r="I200"/>
      <x:c r="J200" s="17"/>
      <x:c r="K200" s="17"/>
      <x:c r="L200" s="17"/>
      <x:c r="M200" s="17"/>
      <x:c r="N200" s="17"/>
      <x:c r="O200" s="19"/>
      <x:c r="P200"/>
      <x:c r="Q200" s="17"/>
      <x:c r="R200"/>
      <x:c r="S200"/>
      <x:c r="T200"/>
    </x:row>
    <x:row r="201">
      <x:c r="G201"/>
      <x:c r="H201"/>
      <x:c r="I201"/>
      <x:c r="J201" s="17"/>
      <x:c r="K201" s="17"/>
      <x:c r="L201" s="17"/>
      <x:c r="M201" s="17"/>
      <x:c r="N201" s="17"/>
      <x:c r="O201" s="19"/>
      <x:c r="P201"/>
      <x:c r="Q201" s="17"/>
      <x:c r="R201"/>
      <x:c r="S201"/>
      <x:c r="T201"/>
    </x:row>
    <x:row r="202">
      <x:c r="G202"/>
      <x:c r="H202"/>
      <x:c r="I202"/>
      <x:c r="J202" s="17"/>
      <x:c r="K202" s="17"/>
      <x:c r="L202" s="17"/>
      <x:c r="M202" s="17"/>
      <x:c r="N202" s="17"/>
      <x:c r="O202" s="19"/>
      <x:c r="P202"/>
      <x:c r="Q202" s="17"/>
      <x:c r="R202"/>
      <x:c r="S202"/>
      <x:c r="T202"/>
    </x:row>
    <x:row r="203">
      <x:c r="G203"/>
      <x:c r="H203"/>
      <x:c r="I203"/>
      <x:c r="J203" s="17"/>
      <x:c r="K203" s="17"/>
      <x:c r="L203" s="17"/>
      <x:c r="M203" s="17"/>
      <x:c r="N203" s="17"/>
      <x:c r="O203" s="19"/>
      <x:c r="P203"/>
      <x:c r="Q203" s="17"/>
      <x:c r="R203"/>
      <x:c r="S203"/>
      <x:c r="T203"/>
    </x:row>
    <x:row r="204">
      <x:c r="G204"/>
      <x:c r="H204"/>
      <x:c r="I204"/>
      <x:c r="J204" s="17"/>
      <x:c r="K204" s="17"/>
      <x:c r="L204" s="17"/>
      <x:c r="M204" s="17"/>
      <x:c r="N204" s="17"/>
      <x:c r="O204" s="19"/>
      <x:c r="P204"/>
      <x:c r="Q204" s="17"/>
      <x:c r="R204"/>
      <x:c r="S204"/>
      <x:c r="T204"/>
    </x:row>
    <x:row r="205">
      <x:c r="G205"/>
      <x:c r="H205"/>
      <x:c r="I205"/>
      <x:c r="J205" s="17"/>
      <x:c r="K205" s="17"/>
      <x:c r="L205" s="17"/>
      <x:c r="M205" s="17"/>
      <x:c r="N205" s="17"/>
      <x:c r="O205" s="19"/>
      <x:c r="P205"/>
      <x:c r="Q205" s="17"/>
      <x:c r="R205"/>
      <x:c r="S205"/>
      <x:c r="T205"/>
    </x:row>
    <x:row r="206">
      <x:c r="G206"/>
      <x:c r="H206"/>
      <x:c r="I206"/>
      <x:c r="J206" s="17"/>
      <x:c r="K206" s="17"/>
      <x:c r="L206" s="17"/>
      <x:c r="M206" s="17"/>
      <x:c r="N206" s="17"/>
      <x:c r="O206" s="19"/>
      <x:c r="P206"/>
      <x:c r="Q206" s="17"/>
      <x:c r="R206"/>
      <x:c r="S206"/>
      <x:c r="T206"/>
    </x:row>
    <x:row r="207">
      <x:c r="G207"/>
      <x:c r="H207"/>
      <x:c r="I207"/>
      <x:c r="J207" s="17"/>
      <x:c r="K207" s="17"/>
      <x:c r="L207" s="17"/>
      <x:c r="M207" s="17"/>
      <x:c r="N207" s="17"/>
      <x:c r="O207" s="19"/>
      <x:c r="P207"/>
      <x:c r="Q207" s="17"/>
      <x:c r="R207"/>
      <x:c r="S207"/>
      <x:c r="T207"/>
    </x:row>
    <x:row r="208">
      <x:c r="G208"/>
      <x:c r="H208"/>
      <x:c r="I208"/>
      <x:c r="J208" s="17"/>
      <x:c r="K208" s="17"/>
      <x:c r="L208" s="17"/>
      <x:c r="M208" s="17"/>
      <x:c r="N208" s="17"/>
      <x:c r="O208" s="19"/>
      <x:c r="P208"/>
      <x:c r="Q208" s="17"/>
      <x:c r="R208"/>
      <x:c r="S208"/>
      <x:c r="T208"/>
    </x:row>
  </x:sheetData>
  <x:conditionalFormatting sqref="G9:G208">
    <x:cfRule type="expression" dxfId="10" priority="1">
      <x:formula>$G9="A fazer"</x:formula>
    </x:cfRule>
    <x:cfRule type="expression" dxfId="11" priority="2">
      <x:formula>$G9="Em produção"</x:formula>
    </x:cfRule>
    <x:cfRule type="expression" dxfId="12" priority="3">
      <x:formula>$G9="Produzida"</x:formula>
    </x:cfRule>
  </x:conditionalFormatting>
  <x:conditionalFormatting sqref="J9:J208">
    <x:cfRule type="expression" dxfId="13" priority="4">
      <x:formula>$J9="A definir"</x:formula>
    </x:cfRule>
    <x:cfRule type="expression" dxfId="14" priority="5">
      <x:formula>$J9="A fazer"</x:formula>
    </x:cfRule>
    <x:cfRule type="expression" dxfId="15" priority="6">
      <x:formula>$J9="Em desenvolvimento"</x:formula>
    </x:cfRule>
    <x:cfRule type="expression" dxfId="16" priority="7">
      <x:formula>$J9="Em revisão"</x:formula>
    </x:cfRule>
    <x:cfRule type="expression" dxfId="17" priority="8">
      <x:formula>$J9="Correção solicitada"</x:formula>
    </x:cfRule>
    <x:cfRule type="expression" dxfId="18" priority="9">
      <x:formula>$J9="Bloqueado"</x:formula>
    </x:cfRule>
    <x:cfRule type="expression" dxfId="19" priority="10">
      <x:formula>$J9="Concluído"</x:formula>
    </x:cfRule>
  </x:conditionalFormatting>
  <x:conditionalFormatting sqref="M9:M208">
    <x:cfRule type="expression" dxfId="20" priority="11">
      <x:formula>AND(ISNUMBER($M9),$M9&lt;TODAY(),$J9&lt;&gt;"Concluído",$A9&lt;&gt;"")</x:formula>
    </x:cfRule>
  </x:conditionalFormatting>
  <x:conditionalFormatting sqref="K9:K208">
    <x:cfRule type="expression" dxfId="21" priority="12">
      <x:formula>$K9="Alta"</x:formula>
    </x:cfRule>
  </x:conditionalFormatting>
  <x:conditionalFormatting sqref="P9:P208">
    <x:cfRule type="expression" dxfId="22" priority="13">
      <x:formula>AND($J9="Concluído",$P9="")</x:formula>
    </x:cfRule>
  </x:conditionalFormatting>
  <x:dataValidations count="7">
    <x:dataValidation type="list" sqref="F9:F208">
      <x:formula1>"Novo,Correção"</x:formula1>
    </x:dataValidation>
    <x:dataValidation type="list" sqref="G9:G208">
      <x:formula1>"A fazer,Em produção,Produzida"</x:formula1>
    </x:dataValidation>
    <x:dataValidation type="list" sqref="H9:H208">
      <x:formula1>"Estagiário 1,Estagiário 2"</x:formula1>
    </x:dataValidation>
    <x:dataValidation type="list" sqref="I9:I208">
      <x:formula1>"Analista 1,Analista 2"</x:formula1>
    </x:dataValidation>
    <x:dataValidation type="list" sqref="J9:J208">
      <x:formula1>"A definir,A fazer,Em desenvolvimento,Em revisão,Correção solicitada,Bloqueado,Concluído"</x:formula1>
    </x:dataValidation>
    <x:dataValidation type="list" sqref="K9:K208">
      <x:formula1>"Alta,Média,Baixa"</x:formula1>
    </x:dataValidation>
    <x:dataValidation type="whole" operator="between" sqref="Q9:Q208">
      <x:formula1>0</x:formula1>
      <x:formula2>100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4c4e89cfa2b443d"/>
  </x:tableParts>
</x:worksheet>
</file>

<file path=xl/worksheets/sheet3.xml><?xml version="1.0" encoding="utf-8"?>
<x:worksheet xmlns:x="http://schemas.openxmlformats.org/spreadsheetml/2006/main">
  <x:sheetPr>
    <x:tabColor rgb="FF5848A8"/>
  </x:sheetPr>
  <x:sheetViews>
    <x:sheetView showGridLines="0" workbookViewId="0"/>
  </x:sheetViews>
  <x:sheetFormatPr defaultRowHeight="15"/>
  <x:cols>
    <x:col min="1" max="1" width="4" hidden="0" customWidth="1"/>
    <x:col min="2" max="2" width="32" hidden="0" customWidth="1"/>
    <x:col min="3" max="3" width="34" hidden="0" customWidth="1"/>
    <x:col min="4" max="4" width="56" hidden="0" customWidth="1"/>
  </x:cols>
  <x:sheetData>
    <x:row r="2">
      <x:c r="B2" s="2" t="str">
        <x:v>Equipe e critérios</x:v>
      </x:c>
      <x:c r="C2" s="1"/>
      <x:c r="D2" s="1"/>
    </x:row>
    <x:row r="3">
      <x:c r="B3" s="1"/>
      <x:c r="C3" s="1"/>
      <x:c r="D3" s="1"/>
    </x:row>
    <x:row r="4" ht="30" customHeight="1">
      <x:c r="B4" s="22" t="str">
        <x:v>Pessoas</x:v>
      </x:c>
      <x:c r="C4" s="22"/>
      <x:c r="D4" s="22"/>
    </x:row>
    <x:row r="5">
      <x:c r="B5" s="1" t="str">
        <x:v>Coordenador</x:v>
      </x:c>
      <x:c r="C5" s="24"/>
      <x:c r="D5" s="3" t="str">
        <x:v>Preencha os nomes. Em Controle, atribua cada item a “Analista 1” ou “Analista 2”.</x:v>
      </x:c>
    </x:row>
    <x:row r="6">
      <x:c r="B6" s="1" t="str">
        <x:v>Analista 1</x:v>
      </x:c>
      <x:c r="C6" s="25"/>
      <x:c r="D6" s="1"/>
    </x:row>
    <x:row r="7">
      <x:c r="B7" s="1" t="str">
        <x:v>Analista 2</x:v>
      </x:c>
      <x:c r="C7" s="26"/>
      <x:c r="D7" s="1"/>
    </x:row>
    <x:row r="8">
      <x:c r="B8" s="1"/>
      <x:c r="C8" s="1"/>
      <x:c r="D8" s="1"/>
    </x:row>
    <x:row r="9" ht="30" customHeight="1">
      <x:c r="B9" s="29" t="str">
        <x:v>Situações</x:v>
      </x:c>
      <x:c r="C9" s="29"/>
      <x:c r="D9" s="29"/>
    </x:row>
    <x:row r="10">
      <x:c r="B10" s="31" t="str">
        <x:v>A definir</x:v>
      </x:c>
      <x:c r="C10" s="1" t="str">
        <x:v>A distribuição ou o andamento ainda não foi registrado.</x:v>
      </x:c>
      <x:c r="D10" s="1"/>
    </x:row>
    <x:row r="11">
      <x:c r="B11" s="33" t="str">
        <x:v>A fazer</x:v>
      </x:c>
      <x:c r="C11" s="1" t="str">
        <x:v>Trabalho definido e ainda não iniciado.</x:v>
      </x:c>
      <x:c r="D11" s="1"/>
    </x:row>
    <x:row r="12">
      <x:c r="B12" s="35" t="str">
        <x:v>Em desenvolvimento</x:v>
      </x:c>
      <x:c r="C12" s="1" t="str">
        <x:v>Analista está elaborando ou ajustando o BowTie.</x:v>
      </x:c>
      <x:c r="D12" s="1"/>
    </x:row>
    <x:row r="13">
      <x:c r="B13" s="37" t="str">
        <x:v>Em revisão</x:v>
      </x:c>
      <x:c r="C13" s="1" t="str">
        <x:v>Entregue e aguardando conferência do coordenador.</x:v>
      </x:c>
      <x:c r="D13" s="1"/>
    </x:row>
    <x:row r="14">
      <x:c r="B14" s="39" t="str">
        <x:v>Correção solicitada</x:v>
      </x:c>
      <x:c r="C14" s="1" t="str">
        <x:v>Conferência apontou ajustes pendentes.</x:v>
      </x:c>
      <x:c r="D14" s="1"/>
    </x:row>
    <x:row r="15">
      <x:c r="B15" s="41" t="str">
        <x:v>Bloqueado</x:v>
      </x:c>
      <x:c r="C15" s="1" t="str">
        <x:v>Não pode avançar; descreva o impedimento em Controle.</x:v>
      </x:c>
      <x:c r="D15" s="1"/>
    </x:row>
    <x:row r="16">
      <x:c r="B16" s="43" t="str">
        <x:v>Concluído</x:v>
      </x:c>
      <x:c r="C16" s="1" t="str">
        <x:v>Coordenador conferiu e validou o BowTie. Registre a data.</x:v>
      </x:c>
      <x:c r="D16" s="1"/>
    </x:row>
    <x:row r="17">
      <x:c r="B17" s="1"/>
      <x:c r="C17" s="1"/>
      <x:c r="D17" s="1"/>
    </x:row>
    <x:row r="18" ht="30" customHeight="1">
      <x:c r="B18" s="29" t="str">
        <x:v>Tipo de trabalho</x:v>
      </x:c>
      <x:c r="C18" s="29"/>
      <x:c r="D18" s="29"/>
    </x:row>
    <x:row r="19">
      <x:c r="B19" s="1" t="str">
        <x:v>Novo</x:v>
      </x:c>
      <x:c r="C19" s="1" t="str">
        <x:v>Elaborar o primeiro BowTie do cenário.</x:v>
      </x:c>
      <x:c r="D19" s="1"/>
    </x:row>
    <x:row r="20">
      <x:c r="B20" t="str">
        <x:v>Correção</x:v>
      </x:c>
      <x:c r="C20" t="str">
        <x:v>Ajustar um BowTie que já existe.</x:v>
      </x:c>
    </x:row>
    <x:row r="22">
      <x:c r="B22" s="3" t="str">
        <x:v>Use uma linha por cenário/BowTie. Ao adicionar outros itens, registre a fonte e o ID em Controle.</x:v>
      </x:c>
    </x:row>
    <x:row r="24">
      <x:c r="B24" s="78" t="str">
        <x:v>Produção das planilhas</x:v>
      </x:c>
      <x:c r="C24" s="78"/>
      <x:c r="D24" s="78"/>
    </x:row>
    <x:row r="25" ht="22" customHeight="1">
      <x:c r="B25" s="79" t="str">
        <x:v>Estagiário 1</x:v>
      </x:c>
      <x:c r="C25" s="80"/>
      <x:c r="D25" s="81" t="str">
        <x:v>Preencha os nomes e atribua Estagiário 1 ou 2 na aba Controle.</x:v>
      </x:c>
    </x:row>
    <x:row r="26" ht="22" customHeight="1">
      <x:c r="B26" s="79" t="str">
        <x:v>Estagiário 2</x:v>
      </x:c>
      <x:c r="C26" s="80"/>
    </x:row>
  </x:sheetData>
  <x:pageMargins left="0.7" right="0.7" top="0.75" bottom="0.75" header="0.3" footer="0.3"/>
</x:worksheet>
</file>