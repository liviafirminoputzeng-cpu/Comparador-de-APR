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3cbb9ccfd947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2eae1541e41d4763"/>
    <x:sheet xmlns:r="http://schemas.openxmlformats.org/officeDocument/2006/relationships" name="Controle" sheetId="2" r:id="Ra6ba625d2b6a4955"/>
    <x:sheet xmlns:r="http://schemas.openxmlformats.org/officeDocument/2006/relationships" name="Equipe" sheetId="3" r:id="R749893318a0c44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&quot;%&quot;"/>
    <x:numFmt numFmtId="202" formatCode="0%"/>
  </x:numFmts>
  <x:fonts count="21">
    <x:font>
      <x:sz val="11"/>
      <x:name val="Carlito"/>
    </x:font>
    <x:font>
      <x:sz val="10"/>
      <x:color rgb="FF172540"/>
      <x:name val="Arial"/>
    </x:font>
    <x:font>
      <x:b/>
      <x:sz val="16"/>
      <x:color rgb="FF0D1631"/>
      <x:name val="Arial"/>
    </x:font>
    <x:font>
      <x:i/>
      <x:sz val="10"/>
      <x:color rgb="FF60718F"/>
      <x:name val="Arial"/>
    </x:font>
    <x:font>
      <x:b/>
      <x:sz val="10"/>
      <x:color rgb="FFFFFFFF"/>
      <x:name val="Arial"/>
    </x:font>
    <x:font>
      <x:b/>
      <x:sz val="10"/>
      <x:color rgb="FF234B89"/>
      <x:name val="Arial"/>
    </x:font>
    <x:font>
      <x:b/>
      <x:sz val="10"/>
      <x:color rgb="FF58657A"/>
      <x:name val="Arial"/>
    </x:font>
    <x:font>
      <x:b/>
      <x:sz val="10"/>
      <x:color rgb="FF795B12"/>
      <x:name val="Arial"/>
    </x:font>
    <x:font>
      <x:b/>
      <x:sz val="10"/>
      <x:color rgb="FF11687F"/>
      <x:name val="Arial"/>
    </x:font>
    <x:font>
      <x:b/>
      <x:sz val="10"/>
      <x:color rgb="FF583999"/>
      <x:name val="Arial"/>
    </x:font>
    <x:font>
      <x:b/>
      <x:sz val="10"/>
      <x:color rgb="FF9A501D"/>
      <x:name val="Arial"/>
    </x:font>
    <x:font>
      <x:b/>
      <x:sz val="10"/>
      <x:color rgb="FFA23A45"/>
      <x:name val="Arial"/>
    </x:font>
    <x:font>
      <x:b/>
      <x:sz val="10"/>
      <x:color rgb="FF176743"/>
      <x:name val="Arial"/>
    </x:font>
    <x:font>
      <x:b/>
      <x:sz val="10"/>
      <x:color rgb="FF60718F"/>
      <x:name val="Arial"/>
    </x:font>
    <x:font>
      <x:b/>
      <x:sz val="16"/>
      <x:color rgb="FF234B89"/>
      <x:name val="Arial"/>
    </x:font>
    <x:font>
      <x:b/>
      <x:sz val="16"/>
      <x:color rgb="FF176743"/>
      <x:name val="Arial"/>
    </x:font>
    <x:font>
      <x:b/>
      <x:sz val="16"/>
      <x:color rgb="FF11687F"/>
      <x:name val="Arial"/>
    </x:font>
    <x:font>
      <x:b/>
      <x:sz val="16"/>
      <x:color rgb="FFA23A45"/>
      <x:name val="Arial"/>
    </x:font>
    <x:font>
      <x:b/>
      <x:sz val="16"/>
      <x:color rgb="FF5848A8"/>
      <x:name val="Arial"/>
    </x:font>
    <x:font>
      <x:b/>
      <x:sz val="16"/>
      <x:color rgb="FF795B12"/>
      <x:name val="Arial"/>
    </x:font>
    <x:font>
      <x:b/>
      <x:sz val="16"/>
      <x:color rgb="FF9A501D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172242"/>
      </x:patternFill>
    </x:fill>
    <x:fill>
      <x:patternFill patternType="solid">
        <x:fgColor rgb="FFFFF3CB"/>
      </x:patternFill>
    </x:fill>
    <x:fill>
      <x:patternFill patternType="solid">
        <x:fgColor rgb="FFF4F7FC"/>
      </x:patternFill>
    </x:fill>
    <x:fill>
      <x:patternFill patternType="solid">
        <x:fgColor rgb="FF5848A8"/>
      </x:patternFill>
    </x:fill>
    <x:fill>
      <x:patternFill patternType="solid">
        <x:fgColor rgb="FF234B89"/>
      </x:patternFill>
    </x:fill>
    <x:fill>
      <x:patternFill patternType="solid">
        <x:fgColor rgb="FFE9EDF3"/>
      </x:patternFill>
    </x:fill>
    <x:fill>
      <x:patternFill patternType="solid">
        <x:fgColor rgb="FFFFF2C9"/>
      </x:patternFill>
    </x:fill>
    <x:fill>
      <x:patternFill patternType="solid">
        <x:fgColor rgb="FFDCF2FA"/>
      </x:patternFill>
    </x:fill>
    <x:fill>
      <x:patternFill patternType="solid">
        <x:fgColor rgb="FFECE7F8"/>
      </x:patternFill>
    </x:fill>
    <x:fill>
      <x:patternFill patternType="solid">
        <x:fgColor rgb="FFFCE8D8"/>
      </x:patternFill>
    </x:fill>
    <x:fill>
      <x:patternFill patternType="solid">
        <x:fgColor rgb="FFF9DEDF"/>
      </x:patternFill>
    </x:fill>
    <x:fill>
      <x:patternFill patternType="solid">
        <x:fgColor rgb="FFDBF2E4"/>
      </x:patternFill>
    </x:fill>
  </x:fills>
  <x:borders count="4">
    <x:border/>
    <x:border>
      <x:left style="thin">
        <x:color rgb="FFD8E1EE"/>
      </x:left>
      <x:right style="thin">
        <x:color rgb="FFD8E1EE"/>
      </x:right>
      <x:top style="thin">
        <x:color rgb="FFD8E1EE"/>
      </x:top>
    </x:border>
    <x:border>
      <x:left style="thin">
        <x:color rgb="FFD8E1EE"/>
      </x:left>
      <x:right style="thin">
        <x:color rgb="FFD8E1EE"/>
      </x:right>
    </x:border>
    <x:border>
      <x:left style="thin">
        <x:color rgb="FFD8E1EE"/>
      </x:left>
      <x:right style="thin">
        <x:color rgb="FFD8E1EE"/>
      </x:right>
      <x:bottom style="thin">
        <x:color rgb="FFD8E1EE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horizontal="center" vertical="center"/>
    </x:xf>
    <x:xf numFmtId="200" fontId="0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3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/>
    <x:xf numFmtId="0" fontId="6" fillId="7" borderId="0" xfId="0" applyNumberFormat="1" applyFont="1" applyFill="1" applyBorder="1"/>
    <x:xf numFmtId="0" fontId="1" fillId="8" borderId="0" xfId="0" applyNumberFormat="1" applyFont="1" applyFill="1" applyBorder="1"/>
    <x:xf numFmtId="0" fontId="7" fillId="8" borderId="0" xfId="0" applyNumberFormat="1" applyFont="1" applyFill="1" applyBorder="1"/>
    <x:xf numFmtId="0" fontId="1" fillId="9" borderId="0" xfId="0" applyNumberFormat="1" applyFont="1" applyFill="1" applyBorder="1"/>
    <x:xf numFmtId="0" fontId="8" fillId="9" borderId="0" xfId="0" applyNumberFormat="1" applyFont="1" applyFill="1" applyBorder="1"/>
    <x:xf numFmtId="0" fontId="1" fillId="10" borderId="0" xfId="0" applyNumberFormat="1" applyFont="1" applyFill="1" applyBorder="1"/>
    <x:xf numFmtId="0" fontId="9" fillId="10" borderId="0" xfId="0" applyNumberFormat="1" applyFont="1" applyFill="1" applyBorder="1"/>
    <x:xf numFmtId="0" fontId="1" fillId="11" borderId="0" xfId="0" applyNumberFormat="1" applyFont="1" applyFill="1" applyBorder="1"/>
    <x:xf numFmtId="0" fontId="10" fillId="11" borderId="0" xfId="0" applyNumberFormat="1" applyFont="1" applyFill="1" applyBorder="1"/>
    <x:xf numFmtId="0" fontId="1" fillId="12" borderId="0" xfId="0" applyNumberFormat="1" applyFont="1" applyFill="1" applyBorder="1"/>
    <x:xf numFmtId="0" fontId="11" fillId="12" borderId="0" xfId="0" applyNumberFormat="1" applyFont="1" applyFill="1" applyBorder="1"/>
    <x:xf numFmtId="0" fontId="1" fillId="13" borderId="0" xfId="0" applyNumberFormat="1" applyFont="1" applyFill="1" applyBorder="1"/>
    <x:xf numFmtId="0" fontId="12" fillId="13" borderId="0" xfId="0" applyNumberFormat="1" applyFont="1" applyFill="1" applyBorder="1"/>
    <x:xf numFmtId="200" fontId="1" fillId="0" borderId="0" xfId="0" applyNumberFormat="1" applyFont="1" applyFill="1" applyBorder="1"/>
    <x:xf numFmtId="0" fontId="13" fillId="0" borderId="0" xfId="0" applyNumberFormat="1" applyFont="1" applyFill="1" applyBorder="1"/>
    <x:xf numFmtId="0" fontId="1" fillId="4" borderId="0" xfId="0" applyNumberFormat="1" applyFont="1" applyFill="1" applyBorder="1"/>
    <x:xf numFmtId="0" fontId="14" fillId="4" borderId="0" xfId="0" applyNumberFormat="1" applyFont="1" applyFill="1" applyBorder="1"/>
    <x:xf numFmtId="0" fontId="14" fillId="4" borderId="0" xfId="0" applyNumberFormat="1" applyFont="1" applyFill="1" applyBorder="1" applyAlignment="1">
      <x:alignment horizontal="center"/>
    </x:xf>
    <x:xf numFmtId="0" fontId="14" fillId="4" borderId="0" xfId="0" applyNumberFormat="1" applyFont="1" applyFill="1" applyBorder="1" applyAlignment="1">
      <x:alignment horizontal="center" vertical="center"/>
    </x:xf>
    <x:xf numFmtId="0" fontId="15" fillId="4" borderId="0" xfId="0" applyNumberFormat="1" applyFont="1" applyFill="1" applyBorder="1"/>
    <x:xf numFmtId="0" fontId="15" fillId="4" borderId="0" xfId="0" applyNumberFormat="1" applyFont="1" applyFill="1" applyBorder="1" applyAlignment="1">
      <x:alignment horizontal="center"/>
    </x:xf>
    <x:xf numFmtId="0" fontId="15" fillId="4" borderId="0" xfId="0" applyNumberFormat="1" applyFont="1" applyFill="1" applyBorder="1" applyAlignment="1">
      <x:alignment horizontal="center" vertical="center"/>
    </x:xf>
    <x:xf numFmtId="0" fontId="16" fillId="4" borderId="0" xfId="0" applyNumberFormat="1" applyFont="1" applyFill="1" applyBorder="1"/>
    <x:xf numFmtId="0" fontId="16" fillId="4" borderId="0" xfId="0" applyNumberFormat="1" applyFont="1" applyFill="1" applyBorder="1" applyAlignment="1">
      <x:alignment horizontal="center"/>
    </x:xf>
    <x:xf numFmtId="0" fontId="16" fillId="4" borderId="0" xfId="0" applyNumberFormat="1" applyFont="1" applyFill="1" applyBorder="1" applyAlignment="1">
      <x:alignment horizontal="center" vertical="center"/>
    </x:xf>
    <x:xf numFmtId="0" fontId="17" fillId="4" borderId="0" xfId="0" applyNumberFormat="1" applyFont="1" applyFill="1" applyBorder="1"/>
    <x:xf numFmtId="0" fontId="17" fillId="4" borderId="0" xfId="0" applyNumberFormat="1" applyFont="1" applyFill="1" applyBorder="1" applyAlignment="1">
      <x:alignment horizontal="center"/>
    </x:xf>
    <x:xf numFmtId="0" fontId="17" fillId="4" borderId="0" xfId="0" applyNumberFormat="1" applyFont="1" applyFill="1" applyBorder="1" applyAlignment="1">
      <x:alignment horizontal="center" vertical="center"/>
    </x:xf>
    <x:xf numFmtId="0" fontId="18" fillId="4" borderId="0" xfId="0" applyNumberFormat="1" applyFont="1" applyFill="1" applyBorder="1"/>
    <x:xf numFmtId="0" fontId="18" fillId="4" borderId="0" xfId="0" applyNumberFormat="1" applyFont="1" applyFill="1" applyBorder="1" applyAlignment="1">
      <x:alignment horizontal="center"/>
    </x:xf>
    <x:xf numFmtId="0" fontId="18" fillId="4" borderId="0" xfId="0" applyNumberFormat="1" applyFont="1" applyFill="1" applyBorder="1" applyAlignment="1">
      <x:alignment horizontal="center" vertical="center"/>
    </x:xf>
    <x:xf numFmtId="202" fontId="18" fillId="4" borderId="0" xfId="0" applyNumberFormat="1" applyFont="1" applyFill="1" applyBorder="1" applyAlignment="1">
      <x:alignment horizontal="center" vertical="center"/>
    </x:xf>
    <x:xf numFmtId="0" fontId="19" fillId="4" borderId="0" xfId="0" applyNumberFormat="1" applyFont="1" applyFill="1" applyBorder="1"/>
    <x:xf numFmtId="0" fontId="19" fillId="4" borderId="0" xfId="0" applyNumberFormat="1" applyFont="1" applyFill="1" applyBorder="1" applyAlignment="1">
      <x:alignment horizontal="center"/>
    </x:xf>
    <x:xf numFmtId="0" fontId="19" fillId="4" borderId="0" xfId="0" applyNumberFormat="1" applyFont="1" applyFill="1" applyBorder="1" applyAlignment="1">
      <x:alignment horizontal="center" vertical="center"/>
    </x:xf>
    <x:xf numFmtId="0" fontId="20" fillId="4" borderId="0" xfId="0" applyNumberFormat="1" applyFont="1" applyFill="1" applyBorder="1"/>
    <x:xf numFmtId="0" fontId="20" fillId="4" borderId="0" xfId="0" applyNumberFormat="1" applyFont="1" applyFill="1" applyBorder="1" applyAlignment="1">
      <x:alignment horizontal="center"/>
    </x:xf>
    <x:xf numFmtId="0" fontId="20" fillId="4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0">
    <x:dxf>
      <x:font>
        <x:b/>
        <x:color rgb="FF58657A"/>
      </x:font>
      <x:fill>
        <x:patternFill patternType="solid">
          <x:bgColor rgb="FFE9EDF3"/>
        </x:patternFill>
      </x:fill>
    </x:dxf>
    <x:dxf>
      <x:font>
        <x:b/>
        <x:color rgb="FF795B12"/>
      </x:font>
      <x:fill>
        <x:patternFill patternType="solid">
          <x:bgColor rgb="FFFFF2C9"/>
        </x:patternFill>
      </x:fill>
    </x:dxf>
    <x:dxf>
      <x:font>
        <x:b/>
        <x:color rgb="FF11687F"/>
      </x:font>
      <x:fill>
        <x:patternFill patternType="solid">
          <x:bgColor rgb="FFDCF2FA"/>
        </x:patternFill>
      </x:fill>
    </x:dxf>
    <x:dxf>
      <x:font>
        <x:b/>
        <x:color rgb="FF583999"/>
      </x:font>
      <x:fill>
        <x:patternFill patternType="solid">
          <x:bgColor rgb="FFECE7F8"/>
        </x:patternFill>
      </x:fill>
    </x:dxf>
    <x:dxf>
      <x:font>
        <x:b/>
        <x:color rgb="FF9A501D"/>
      </x:font>
      <x:fill>
        <x:patternFill patternType="solid">
          <x:bgColor rgb="FFFCE8D8"/>
        </x:patternFill>
      </x:fill>
    </x:dxf>
    <x:dxf>
      <x:font>
        <x:b/>
        <x:color rgb="FFA23A45"/>
      </x:font>
      <x:fill>
        <x:patternFill patternType="solid">
          <x:bgColor rgb="FFF9DEDF"/>
        </x:patternFill>
      </x:fill>
    </x:dxf>
    <x:dxf>
      <x:font>
        <x:b/>
        <x:color rgb="FF176743"/>
      </x:font>
      <x:fill>
        <x:patternFill patternType="solid">
          <x:bgColor rgb="FFDBF2E4"/>
        </x:patternFill>
      </x:fill>
    </x:dxf>
    <x:dxf>
      <x:font>
        <x:b/>
        <x:color rgb="FFA23A45"/>
      </x:font>
      <x:fill>
        <x:patternFill patternType="solid">
          <x:bgColor rgb="FFF9DEDF"/>
        </x:patternFill>
      </x:fill>
    </x:dxf>
    <x:dxf>
      <x:font>
        <x:b/>
        <x:color rgb="FF9A501D"/>
      </x:font>
      <x:fill>
        <x:patternFill patternType="solid">
          <x:bgColor rgb="FFFCE8D8"/>
        </x:patternFill>
      </x:fill>
    </x:dxf>
    <x:dxf>
      <x:font>
        <x:color rgb="FFA23A45"/>
      </x:font>
      <x:fill>
        <x:patternFill patternType="solid">
          <x:bgColor rgb="FFF9DE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696a9a599d44e6" /><Relationship Type="http://schemas.openxmlformats.org/officeDocument/2006/relationships/theme" Target="/xl/theme/theme1.xml" Id="Ra44d023950f94fe0" /><Relationship Type="http://schemas.openxmlformats.org/officeDocument/2006/relationships/sharedStrings" Target="/xl/sharedStrings.xml" Id="R4886cafeaf1c4655" /><Relationship Type="http://schemas.openxmlformats.org/officeDocument/2006/relationships/worksheet" Target="/xl/worksheets/sheet1.xml" Id="R2eae1541e41d4763" /><Relationship Type="http://schemas.openxmlformats.org/officeDocument/2006/relationships/worksheet" Target="/xl/worksheets/sheet2.xml" Id="Ra6ba625d2b6a4955" /><Relationship Type="http://schemas.openxmlformats.org/officeDocument/2006/relationships/worksheet" Target="/xl/worksheets/sheet3.xml" Id="R749893318a0c44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7b4cfa01c434a7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Distribuição por situação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Quantidade</c:v>
          </c:tx>
          <c:spPr>
            <a:solidFill xmlns:a="http://schemas.openxmlformats.org/drawingml/2006/main">
              <a:srgbClr val="5848A8"/>
            </a:solidFill>
          </c:spPr>
          <c:cat>
            <c:strRef>
              <c:f>'Painel'!$B$15:$B$22</c:f>
              <c:strCache>
                <c:ptCount val="0"/>
              </c:strCache>
            </c:strRef>
          </c:cat>
          <c:val>
            <c:numRef>
              <c:f>'Painel'!$C$15:$C$22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13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b4cfa01c434a7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owTiesRevK" displayName="BowTiesRevK" ref="A8:R25" headerRowCount="1" totalsRowCount="0" totalsRowShown="0">
  <x:autoFilter ref="A8:R25"/>
  <x:tableColumns count="18">
    <x:tableColumn id="1" name="ID do cenário"/>
    <x:tableColumn id="2" name="Nó"/>
    <x:tableColumn id="3" name="Cenário"/>
    <x:tableColumn id="4" name="Sistema"/>
    <x:tableColumn id="5" name="Evento topo / desvio"/>
    <x:tableColumn id="6" name="Trabalho"/>
    <x:tableColumn id="7" name="Responsável"/>
    <x:tableColumn id="8" name="Situação"/>
    <x:tableColumn id="9" name="Prioridade"/>
    <x:tableColumn id="10" name="Início previsto"/>
    <x:tableColumn id="11" name="Prazo"/>
    <x:tableColumn id="12" name="Início real"/>
    <x:tableColumn id="13" name="Entrega inicial"/>
    <x:tableColumn id="14" name="Conclusão validada"/>
    <x:tableColumn id="15" name="Progresso (%)"/>
    <x:tableColumn id="16" name="Próxima ação / impedimento"/>
    <x:tableColumn id="17" name="Atualizado em"/>
    <x:tableColumn id="18" name="Página PD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d77927fcee94f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f5996435604d04" /></Relationships>
</file>

<file path=xl/worksheets/sheet1.xml><?xml version="1.0" encoding="utf-8"?>
<x:worksheet xmlns:x="http://schemas.openxmlformats.org/spreadsheetml/2006/main">
  <x:sheetPr>
    <x:tabColor rgb="FF0D1631"/>
  </x:sheetPr>
  <x:sheetViews>
    <x:sheetView showGridLines="0" workbookViewId="0"/>
  </x:sheetViews>
  <x:sheetFormatPr defaultRowHeight="15"/>
  <x:cols>
    <x:col min="1" max="1" width="4" hidden="0" customWidth="1"/>
    <x:col min="2" max="2" width="29" hidden="0" customWidth="1"/>
    <x:col min="3" max="3" width="15" hidden="0" customWidth="1"/>
    <x:col min="4" max="4" width="13" hidden="0" customWidth="1"/>
    <x:col min="5" max="5" width="18" hidden="0" customWidth="1"/>
    <x:col min="6" max="6" width="17" hidden="0" customWidth="1"/>
    <x:col min="7" max="7" width="17" hidden="0" customWidth="1"/>
    <x:col min="8" max="8" width="16" hidden="0" customWidth="1"/>
    <x:col min="9" max="9" width="17" hidden="0" customWidth="1"/>
    <x:col min="10" max="10" width="16" hidden="0" customWidth="1"/>
    <x:col min="11" max="11" width="16" hidden="0" customWidth="1"/>
    <x:col min="12" max="12" width="16" hidden="0" customWidth="1"/>
    <x:col min="13" max="13" width="13" hidden="0" customWidth="1"/>
  </x:cols>
  <x:sheetData>
    <x:row r="2">
      <x:c r="B2" s="2" t="str">
        <x:v>Acompanhamento de BowTies</x:v>
      </x:c>
      <x:c r="C2" s="1"/>
      <x:c r="D2" s="1"/>
      <x:c r="E2" s="1"/>
      <x:c r="F2" s="1"/>
      <x:c r="G2" s="1"/>
      <x:c r="H2" s="1"/>
      <x:c r="I2" s="1"/>
      <x:c r="J2" s="1"/>
      <x:c r="K2" s="1" t="str">
        <x:v>Hoje</x:v>
      </x:c>
      <x:c r="L2" s="44" t="n">
        <x:f>TODAY()</x:f>
        <x:v>46294</x:v>
      </x:c>
      <x:c r="M2" s="1"/>
    </x:row>
    <x:row r="3">
      <x:c r="B3" s="3" t="str">
        <x:v>RL-9208.00-7501-98G-PHF-001.REVK · 17 candidatos iniciais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>
      <x:c r="B6" s="45" t="str">
        <x:v>Total de BowTies</x:v>
      </x:c>
      <x:c r="C6" s="1"/>
      <x:c r="D6" s="1"/>
      <x:c r="E6" s="45" t="str">
        <x:v>Concluídos</x:v>
      </x:c>
      <x:c r="F6" s="1"/>
      <x:c r="G6" s="1"/>
      <x:c r="H6" s="45" t="str">
        <x:v>Em desenvolvimento</x:v>
      </x:c>
      <x:c r="I6" s="1"/>
      <x:c r="J6" s="1"/>
      <x:c r="K6" s="45" t="str">
        <x:v>Prazos vencidos</x:v>
      </x:c>
      <x:c r="L6" s="1"/>
      <x:c r="M6" s="1"/>
    </x:row>
    <x:row r="7" ht="35" customHeight="1">
      <x:c r="B7" s="1"/>
      <x:c r="C7" s="49" t="n">
        <x:f>COUNTA(Controle!$A$9:$A$208)</x:f>
        <x:v>17</x:v>
      </x:c>
      <x:c r="D7" s="1"/>
      <x:c r="E7" s="1"/>
      <x:c r="F7" s="52" t="n">
        <x:f>COUNTIF(Controle!$H$9:$H$208,"Concluído")</x:f>
        <x:v>0</x:v>
      </x:c>
      <x:c r="G7" s="1"/>
      <x:c r="H7" s="1"/>
      <x:c r="I7" s="55" t="n">
        <x:f>COUNTIF(Controle!$H$9:$H$208,"Em desenvolvimento")</x:f>
        <x:v>0</x:v>
      </x:c>
      <x:c r="J7" s="1"/>
      <x:c r="K7" s="1"/>
      <x:c r="L7" s="58" t="n">
        <x:f>COUNTIFS(Controle!$K$9:$K$208,"&gt;0",Controle!$K$9:$K$208,"&lt;"&amp;TODAY(),Controle!$H$9:$H$208,"&lt;&gt;Concluído")</x:f>
        <x:v>0</x:v>
      </x:c>
      <x:c r="M7" s="1"/>
    </x:row>
    <x:row r="8"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>
      <x:c r="B9" s="45" t="str">
        <x:v>Conclusão (%)</x:v>
      </x:c>
      <x:c r="C9" s="1"/>
      <x:c r="D9" s="1"/>
      <x:c r="E9" s="45" t="str">
        <x:v>Sem responsável</x:v>
      </x:c>
      <x:c r="F9" s="1"/>
      <x:c r="G9" s="1"/>
      <x:c r="H9" s="45" t="str">
        <x:v>Tipo a definir</x:v>
      </x:c>
      <x:c r="I9" s="1"/>
      <x:c r="J9" s="1"/>
      <x:c r="K9" s="45" t="str">
        <x:v>Sem prazo</x:v>
      </x:c>
      <x:c r="L9" s="1"/>
      <x:c r="M9" s="1"/>
    </x:row>
    <x:row r="10" ht="35" customHeight="1">
      <x:c r="B10" s="1"/>
      <x:c r="C10" s="62" t="n">
        <x:f>IFERROR(F7/C7,0)</x:f>
        <x:v>0</x:v>
      </x:c>
      <x:c r="D10" s="1"/>
      <x:c r="E10" s="1"/>
      <x:c r="F10" s="65" t="n">
        <x:f>C7-COUNTA(Controle!$G$9:$G$208)</x:f>
        <x:v>17</x:v>
      </x:c>
      <x:c r="G10" s="1"/>
      <x:c r="H10" s="1"/>
      <x:c r="I10" s="68" t="n">
        <x:f>C7-COUNTA(Controle!$F$9:$F$208)</x:f>
        <x:v>17</x:v>
      </x:c>
      <x:c r="J10" s="1"/>
      <x:c r="K10" s="1"/>
      <x:c r="L10" s="58" t="n">
        <x:f>C7-COUNT(Controle!$K$9:$K$208)</x:f>
        <x:v>17</x:v>
      </x:c>
      <x:c r="M10" s="1"/>
    </x:row>
    <x:row r="11"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0" customHeight="1">
      <x:c r="B13" s="6" t="str">
        <x:v>Situação dos BowTies</x:v>
      </x:c>
      <x:c r="C13" s="6"/>
      <x:c r="D13" s="6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30" customHeight="1">
      <x:c r="B14" s="70" t="str">
        <x:v>Situação</x:v>
      </x:c>
      <x:c r="C14" s="70" t="str">
        <x:v>Quantidade</x:v>
      </x:c>
      <x:c r="D14" s="70" t="str">
        <x:v>Parte do total</x:v>
      </x:c>
      <x:c r="E14" s="1"/>
      <x:c r="F14" s="1"/>
      <x:c r="G14" s="1"/>
      <x:c r="H14" s="1"/>
      <x:c r="I14" s="1"/>
      <x:c r="J14" s="1"/>
      <x:c r="K14" s="1"/>
      <x:c r="L14" s="1"/>
      <x:c r="M14" s="1"/>
    </x:row>
    <x:row r="15">
      <x:c r="B15" s="30" t="str">
        <x:v>A definir</x:v>
      </x:c>
      <x:c r="C15" s="72" t="n">
        <x:f>COUNTIF(Controle!$H$9:$H$208,B15)</x:f>
        <x:v>17</x:v>
      </x:c>
      <x:c r="D15" s="73" t="n">
        <x:f>IFERROR(C15/$C$7,0)</x:f>
        <x:v>1</x:v>
      </x:c>
      <x:c r="E15" s="1"/>
      <x:c r="F15" s="1"/>
      <x:c r="G15" s="1"/>
      <x:c r="H15" s="1"/>
      <x:c r="I15" s="1"/>
      <x:c r="J15" s="1"/>
      <x:c r="K15" s="1"/>
      <x:c r="L15" s="1"/>
      <x:c r="M15" s="1"/>
    </x:row>
    <x:row r="16">
      <x:c r="B16" s="32" t="str">
        <x:v>A fazer</x:v>
      </x:c>
      <x:c r="C16" s="72" t="n">
        <x:f>COUNTIF(Controle!$H$9:$H$208,B16)</x:f>
        <x:v>0</x:v>
      </x:c>
      <x:c r="D16" s="73" t="n">
        <x:f>IFERROR(C16/$C$7,0)</x:f>
        <x:v>0</x:v>
      </x:c>
      <x:c r="E16" s="1"/>
      <x:c r="F16" s="1"/>
      <x:c r="G16" s="1"/>
      <x:c r="H16" s="1"/>
      <x:c r="I16" s="1"/>
      <x:c r="J16" s="1"/>
      <x:c r="K16" s="1"/>
      <x:c r="L16" s="1"/>
      <x:c r="M16" s="1"/>
    </x:row>
    <x:row r="17">
      <x:c r="B17" s="34" t="str">
        <x:v>Em desenvolvimento</x:v>
      </x:c>
      <x:c r="C17" s="72" t="n">
        <x:f>COUNTIF(Controle!$H$9:$H$208,B17)</x:f>
        <x:v>0</x:v>
      </x:c>
      <x:c r="D17" s="73" t="n">
        <x:f>IFERROR(C17/$C$7,0)</x:f>
        <x:v>0</x:v>
      </x:c>
      <x:c r="E17" s="1"/>
      <x:c r="F17" s="1"/>
      <x:c r="G17" s="1"/>
      <x:c r="H17" s="1"/>
      <x:c r="I17" s="1"/>
      <x:c r="J17" s="1"/>
      <x:c r="K17" s="1"/>
      <x:c r="L17" s="1"/>
      <x:c r="M17" s="1"/>
    </x:row>
    <x:row r="18">
      <x:c r="B18" s="36" t="str">
        <x:v>Em revisão</x:v>
      </x:c>
      <x:c r="C18" s="72" t="n">
        <x:f>COUNTIF(Controle!$H$9:$H$208,B18)</x:f>
        <x:v>0</x:v>
      </x:c>
      <x:c r="D18" s="73" t="n">
        <x:f>IFERROR(C18/$C$7,0)</x:f>
        <x:v>0</x:v>
      </x:c>
      <x:c r="E18" s="1"/>
      <x:c r="F18" s="1"/>
      <x:c r="G18" s="1"/>
      <x:c r="H18" s="1"/>
      <x:c r="I18" s="1"/>
      <x:c r="J18" s="1"/>
      <x:c r="K18" s="1"/>
      <x:c r="L18" s="1"/>
      <x:c r="M18" s="1"/>
    </x:row>
    <x:row r="19">
      <x:c r="B19" s="38" t="str">
        <x:v>Correção solicitada</x:v>
      </x:c>
      <x:c r="C19" s="72" t="n">
        <x:f>COUNTIF(Controle!$H$9:$H$208,B19)</x:f>
        <x:v>0</x:v>
      </x:c>
      <x:c r="D19" s="73" t="n">
        <x:f>IFERROR(C19/$C$7,0)</x:f>
        <x:v>0</x:v>
      </x:c>
      <x:c r="E19" s="1"/>
      <x:c r="F19" s="1"/>
      <x:c r="G19" s="1"/>
      <x:c r="H19" s="1"/>
      <x:c r="I19" s="1"/>
      <x:c r="J19" s="1"/>
      <x:c r="K19" s="1"/>
      <x:c r="L19" s="1"/>
      <x:c r="M19" s="1"/>
    </x:row>
    <x:row r="20">
      <x:c r="B20" s="40" t="str">
        <x:v>Bloqueado</x:v>
      </x:c>
      <x:c r="C20" s="72" t="n">
        <x:f>COUNTIF(Controle!$H$9:$H$208,B20)</x:f>
        <x:v>0</x:v>
      </x:c>
      <x:c r="D20" s="73" t="n">
        <x:f>IFERROR(C20/$C$7,0)</x:f>
        <x:v>0</x:v>
      </x:c>
      <x:c r="E20" s="1"/>
      <x:c r="F20" s="1"/>
      <x:c r="G20" s="1"/>
      <x:c r="H20" s="1"/>
      <x:c r="I20" s="1"/>
      <x:c r="J20" s="1"/>
      <x:c r="K20" s="1"/>
      <x:c r="L20" s="1"/>
      <x:c r="M20" s="1"/>
    </x:row>
    <x:row r="21">
      <x:c r="B21" s="42" t="str">
        <x:v>Concluído</x:v>
      </x:c>
      <x:c r="C21" s="72" t="n">
        <x:f>COUNTIF(Controle!$H$9:$H$208,B21)</x:f>
        <x:v>0</x:v>
      </x:c>
      <x:c r="D21" s="73" t="n">
        <x:f>IFERROR(C21/$C$7,0)</x:f>
        <x:v>0</x:v>
      </x:c>
      <x:c r="E21" s="1"/>
      <x:c r="F21" s="1"/>
      <x:c r="G21" s="1"/>
      <x:c r="H21" s="1"/>
      <x:c r="I21" s="1"/>
      <x:c r="J21" s="1"/>
      <x:c r="K21" s="1"/>
      <x:c r="L21" s="1"/>
      <x:c r="M21" s="1"/>
    </x:row>
    <x:row r="22">
      <x:c r="B22" s="46" t="str">
        <x:v>Sem atualização</x:v>
      </x:c>
      <x:c r="C22" s="72" t="n">
        <x:f>C7-SUM(C15:C21)</x:f>
        <x:v>0</x:v>
      </x:c>
      <x:c r="D22" s="73" t="n">
        <x:f>IFERROR(C22/$C$7,0)</x:f>
        <x:v>0</x:v>
      </x:c>
      <x:c r="E22" s="1"/>
      <x:c r="F22" s="1"/>
      <x:c r="G22" s="1"/>
      <x:c r="H22" s="1"/>
      <x:c r="I22" s="1"/>
      <x:c r="J22" s="1"/>
      <x:c r="K22" s="1"/>
      <x:c r="L22" s="1"/>
      <x:c r="M22" s="1"/>
    </x:row>
    <x:row r="23"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30" customHeight="1">
      <x:c r="B29" s="6" t="str">
        <x:v>Distribuição por analista</x:v>
      </x:c>
      <x:c r="C29" s="6"/>
      <x:c r="D29" s="6"/>
      <x:c r="E29" s="6"/>
      <x:c r="F29" s="6"/>
      <x:c r="G29" s="6"/>
      <x:c r="H29" s="6"/>
      <x:c r="I29" s="6"/>
      <x:c r="J29" s="6"/>
      <x:c r="K29" s="1"/>
      <x:c r="L29" s="1"/>
      <x:c r="M29" s="1"/>
    </x:row>
    <x:row r="30" ht="38" customHeight="1">
      <x:c r="B30" s="75" t="str">
        <x:v>Responsável</x:v>
      </x:c>
      <x:c r="C30" s="75" t="str">
        <x:v>Atribuídos</x:v>
      </x:c>
      <x:c r="D30" s="75" t="str">
        <x:v>A fazer</x:v>
      </x:c>
      <x:c r="E30" s="75" t="str">
        <x:v>Em desenvolvimento</x:v>
      </x:c>
      <x:c r="F30" s="75" t="str">
        <x:v>Em revisão</x:v>
      </x:c>
      <x:c r="G30" s="75" t="str">
        <x:v>Correção solicitada</x:v>
      </x:c>
      <x:c r="H30" s="75" t="str">
        <x:v>Bloqueados</x:v>
      </x:c>
      <x:c r="I30" s="75" t="str">
        <x:v>Concluídos</x:v>
      </x:c>
      <x:c r="J30" s="75" t="str">
        <x:v>Conclusão (%)</x:v>
      </x:c>
      <x:c r="K30" s="1"/>
      <x:c r="L30" s="1"/>
      <x:c r="M30" s="1"/>
    </x:row>
    <x:row r="31">
      <x:c r="B31" s="1" t="str">
        <x:f>IF(Equipe!C6="","Analista 1 (nome a definir)","Analista 1: "&amp;Equipe!C6)</x:f>
        <x:v>Analista 1 (nome a definir)</x:v>
      </x:c>
      <x:c r="C31" s="72" t="n">
        <x:f>COUNTIF(Controle!$G$9:$G$208,"Analista 1")</x:f>
        <x:v>0</x:v>
      </x:c>
      <x:c r="D31" s="72" t="n">
        <x:f>COUNTIFS(Controle!$G$9:$G$208,"Analista 1",Controle!$H$9:$H$208,"A fazer")</x:f>
        <x:v>0</x:v>
      </x:c>
      <x:c r="E31" s="72" t="n">
        <x:f>COUNTIFS(Controle!$G$9:$G$208,"Analista 1",Controle!$H$9:$H$208,"Em desenvolvimento")</x:f>
        <x:v>0</x:v>
      </x:c>
      <x:c r="F31" s="72" t="n">
        <x:f>COUNTIFS(Controle!$G$9:$G$208,"Analista 1",Controle!$H$9:$H$208,"Em revisão")</x:f>
        <x:v>0</x:v>
      </x:c>
      <x:c r="G31" s="72" t="n">
        <x:f>COUNTIFS(Controle!$G$9:$G$208,"Analista 1",Controle!$H$9:$H$208,"Correção solicitada")</x:f>
        <x:v>0</x:v>
      </x:c>
      <x:c r="H31" s="72" t="n">
        <x:f>COUNTIFS(Controle!$G$9:$G$208,"Analista 1",Controle!$H$9:$H$208,"Bloqueado")</x:f>
        <x:v>0</x:v>
      </x:c>
      <x:c r="I31" s="72" t="n">
        <x:f>COUNTIFS(Controle!$G$9:$G$208,"Analista 1",Controle!$H$9:$H$208,"Concluído")</x:f>
        <x:v>0</x:v>
      </x:c>
      <x:c r="J31" s="73" t="n">
        <x:f>IFERROR(I31/C31,0)</x:f>
        <x:v>0</x:v>
      </x:c>
      <x:c r="K31" s="1"/>
      <x:c r="L31" s="1"/>
      <x:c r="M31" s="1"/>
    </x:row>
    <x:row r="32">
      <x:c r="B32" s="1" t="str">
        <x:f>IF(Equipe!C7="","Analista 2 (nome a definir)","Analista 2: "&amp;Equipe!C7)</x:f>
        <x:v>Analista 2 (nome a definir)</x:v>
      </x:c>
      <x:c r="C32" s="72" t="n">
        <x:f>COUNTIF(Controle!$G$9:$G$208,"Analista 2")</x:f>
        <x:v>0</x:v>
      </x:c>
      <x:c r="D32" s="72" t="n">
        <x:f>COUNTIFS(Controle!$G$9:$G$208,"Analista 2",Controle!$H$9:$H$208,"A fazer")</x:f>
        <x:v>0</x:v>
      </x:c>
      <x:c r="E32" s="72" t="n">
        <x:f>COUNTIFS(Controle!$G$9:$G$208,"Analista 2",Controle!$H$9:$H$208,"Em desenvolvimento")</x:f>
        <x:v>0</x:v>
      </x:c>
      <x:c r="F32" s="72" t="n">
        <x:f>COUNTIFS(Controle!$G$9:$G$208,"Analista 2",Controle!$H$9:$H$208,"Em revisão")</x:f>
        <x:v>0</x:v>
      </x:c>
      <x:c r="G32" s="72" t="n">
        <x:f>COUNTIFS(Controle!$G$9:$G$208,"Analista 2",Controle!$H$9:$H$208,"Correção solicitada")</x:f>
        <x:v>0</x:v>
      </x:c>
      <x:c r="H32" s="72" t="n">
        <x:f>COUNTIFS(Controle!$G$9:$G$208,"Analista 2",Controle!$H$9:$H$208,"Bloqueado")</x:f>
        <x:v>0</x:v>
      </x:c>
      <x:c r="I32" s="72" t="n">
        <x:f>COUNTIFS(Controle!$G$9:$G$208,"Analista 2",Controle!$H$9:$H$208,"Concluído")</x:f>
        <x:v>0</x:v>
      </x:c>
      <x:c r="J32" s="73" t="n">
        <x:f>IFERROR(I32/C32,0)</x:f>
        <x:v>0</x:v>
      </x:c>
      <x:c r="K32" s="1"/>
      <x:c r="L32" s="1"/>
      <x:c r="M32" s="1"/>
    </x:row>
    <x:row r="33">
      <x:c r="B33" s="32" t="str">
        <x:v>Sem atribuição</x:v>
      </x:c>
      <x:c r="C33" s="76" t="n">
        <x:f>C7-SUM(C31:C32)</x:f>
        <x:v>17</x:v>
      </x:c>
      <x:c r="D33" s="72"/>
      <x:c r="E33" s="72"/>
      <x:c r="F33" s="72"/>
      <x:c r="G33" s="72"/>
      <x:c r="H33" s="72"/>
      <x:c r="I33" s="72"/>
      <x:c r="J33" s="72"/>
      <x:c r="K33" s="1"/>
      <x:c r="L33" s="1"/>
      <x:c r="M33" s="1"/>
    </x:row>
    <x:row r="34"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30" customHeight="1">
      <x:c r="B36" s="6" t="str">
        <x:v>Novo ou correção</x:v>
      </x:c>
      <x:c r="C36" s="6"/>
      <x:c r="D36" s="6"/>
      <x:c r="E36" s="1"/>
      <x:c r="F36" s="6" t="str">
        <x:v>Para começar</x:v>
      </x:c>
      <x:c r="G36" s="6"/>
      <x:c r="H36" s="6"/>
      <x:c r="I36" s="6"/>
      <x:c r="J36" s="6"/>
      <x:c r="K36" s="6"/>
      <x:c r="L36" s="6"/>
      <x:c r="M36" s="6"/>
    </x:row>
    <x:row r="37" ht="30" customHeight="1">
      <x:c r="B37" s="29" t="str">
        <x:v>Trabalho</x:v>
      </x:c>
      <x:c r="C37" s="29" t="str">
        <x:v>Quantidade</x:v>
      </x:c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>
      <x:c r="B38" s="1" t="str">
        <x:v>Novo</x:v>
      </x:c>
      <x:c r="C38" s="1" t="n">
        <x:f>COUNTIF(Controle!$F$9:$F$208,B38)</x:f>
        <x:v>0</x:v>
      </x:c>
      <x:c r="D38" s="1"/>
      <x:c r="E38" s="1"/>
      <x:c r="F38" s="3" t="str">
        <x:v>1. Preencha os nomes na aba Equipe.</x:v>
      </x:c>
      <x:c r="G38" s="1"/>
      <x:c r="H38" s="1"/>
      <x:c r="I38" s="1"/>
      <x:c r="J38" s="1"/>
      <x:c r="K38" s="1"/>
      <x:c r="L38" s="1"/>
      <x:c r="M38" s="1"/>
    </x:row>
    <x:row r="39">
      <x:c r="B39" s="1" t="str">
        <x:v>Correção</x:v>
      </x:c>
      <x:c r="C39" s="1" t="n">
        <x:f>COUNTIF(Controle!$F$9:$F$208,B39)</x:f>
        <x:v>0</x:v>
      </x:c>
      <x:c r="D39" s="1"/>
      <x:c r="E39" s="1"/>
      <x:c r="F39" s="3" t="str">
        <x:v>2. Defina tipo, responsável e prazo na aba Controle.</x:v>
      </x:c>
      <x:c r="G39" s="1"/>
      <x:c r="H39" s="1"/>
      <x:c r="I39" s="1"/>
      <x:c r="J39" s="1"/>
      <x:c r="K39" s="1"/>
      <x:c r="L39" s="1"/>
      <x:c r="M39" s="1"/>
    </x:row>
    <x:row r="40">
      <x:c r="B40" s="1" t="str">
        <x:v>A definir</x:v>
      </x:c>
      <x:c r="C40" s="1" t="n">
        <x:f>C7-SUM(C38:C39)</x:f>
        <x:v>17</x:v>
      </x:c>
      <x:c r="D40" s="1"/>
      <x:c r="E40" s="1"/>
      <x:c r="F40" s="3" t="str">
        <x:v>3. Atualize situação, próxima ação e datas durante o trabalho.</x:v>
      </x:c>
      <x:c r="G40" s="1"/>
      <x:c r="H40" s="1"/>
      <x:c r="I40" s="1"/>
      <x:c r="J40" s="1"/>
      <x:c r="K40" s="1"/>
      <x:c r="L40" s="1"/>
      <x:c r="M40" s="1"/>
    </x:row>
    <x:row r="41"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</x:sheetData>
  <x:pageMargins left="0.7" right="0.7" top="0.75" bottom="0.75" header="0.3" footer="0.3"/>
  <x:drawing xmlns:r="http://schemas.openxmlformats.org/officeDocument/2006/relationships" r:id="Rdd77927fcee94f6a"/>
</x:worksheet>
</file>

<file path=xl/worksheets/sheet2.xml><?xml version="1.0" encoding="utf-8"?>
<x:worksheet xmlns:x="http://schemas.openxmlformats.org/spreadsheetml/2006/main">
  <x:sheetPr>
    <x:tabColor rgb="FF234B89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11" hidden="0" customWidth="1"/>
    <x:col min="4" max="4" width="39" hidden="0" customWidth="1"/>
    <x:col min="5" max="5" width="46" hidden="0" customWidth="1"/>
    <x:col min="6" max="6" width="16" hidden="0" customWidth="1"/>
    <x:col min="7" max="7" width="18" hidden="0" customWidth="1"/>
    <x:col min="8" max="8" width="23" hidden="0" customWidth="1"/>
    <x:col min="9" max="9" width="13" hidden="0" customWidth="1"/>
    <x:col min="10" max="10" width="16" hidden="0" customWidth="1"/>
    <x:col min="11" max="11" width="14" hidden="0" customWidth="1"/>
    <x:col min="12" max="12" width="14" hidden="0" customWidth="1"/>
    <x:col min="13" max="13" width="17" hidden="0" customWidth="1"/>
    <x:col min="14" max="14" width="21" hidden="0" customWidth="1"/>
    <x:col min="15" max="15" width="17" hidden="0" customWidth="1"/>
    <x:col min="16" max="16" width="44" hidden="0" customWidth="1"/>
    <x:col min="17" max="17" width="16" hidden="0" customWidth="1"/>
    <x:col min="18" max="18" width="13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8" customHeight="1">
      <x:c r="A2" s="2" t="str">
        <x:v>Controle de BowTies</x:v>
      </x:c>
    </x:row>
    <x:row r="3">
      <x:c r="A3" s="3" t="str">
        <x:v>Amarelo: preencher pela equipe. As células cinza e azul vêm da APR RevK. Use o filtro da tabela para acompanhar um nó, situação ou analista.</x:v>
      </x:c>
    </x:row>
    <x:row r="5">
      <x:c r="A5" s="3" t="str">
        <x:v>Fonte: 01-Relatorio-de-Planilhas-k-1-.pdf · RL-9208.00-7501-98G-PHF-001.REVK. ID, nó, cenário, sistema, evento topo e página extraídos do PDF. Seleção: severidade IV/V em Segurança, Patrimônio ou Meio Ambiente.</x:v>
      </x:c>
    </x:row>
    <x:row r="6">
      <x:c r="A6" s="3" t="str">
        <x:v>Os 17 itens começam como “A definir”: nenhum responsável, prazo, tipo de trabalho ou execução foi presumido.</x:v>
      </x:c>
    </x:row>
    <x:row r="8" ht="30" customHeight="1">
      <x:c r="A8" s="7" t="str">
        <x:v>ID do cenário</x:v>
      </x:c>
      <x:c r="B8" s="7" t="str">
        <x:v>Nó</x:v>
      </x:c>
      <x:c r="C8" s="7" t="str">
        <x:v>Cenário</x:v>
      </x:c>
      <x:c r="D8" s="7" t="str">
        <x:v>Sistema</x:v>
      </x:c>
      <x:c r="E8" s="7" t="str">
        <x:v>Evento topo / desvio</x:v>
      </x:c>
      <x:c r="F8" s="7" t="str">
        <x:v>Trabalho</x:v>
      </x:c>
      <x:c r="G8" s="7" t="str">
        <x:v>Responsável</x:v>
      </x:c>
      <x:c r="H8" s="7" t="str">
        <x:v>Situação</x:v>
      </x:c>
      <x:c r="I8" s="7" t="str">
        <x:v>Prioridade</x:v>
      </x:c>
      <x:c r="J8" s="7" t="str">
        <x:v>Início previsto</x:v>
      </x:c>
      <x:c r="K8" s="7" t="str">
        <x:v>Prazo</x:v>
      </x:c>
      <x:c r="L8" s="7" t="str">
        <x:v>Início real</x:v>
      </x:c>
      <x:c r="M8" s="7" t="str">
        <x:v>Entrega inicial</x:v>
      </x:c>
      <x:c r="N8" s="7" t="str">
        <x:v>Conclusão validada</x:v>
      </x:c>
      <x:c r="O8" s="7" t="str">
        <x:v>Progresso (%)</x:v>
      </x:c>
      <x:c r="P8" s="7" t="str">
        <x:v>Próxima ação / impedimento</x:v>
      </x:c>
      <x:c r="Q8" s="7" t="str">
        <x:v>Atualizado em</x:v>
      </x:c>
      <x:c r="R8" s="7" t="str">
        <x:v>Página PDF</x:v>
      </x:c>
    </x:row>
    <x:row r="9" ht="37" customHeight="1">
      <x:c r="A9" s="14" t="str">
        <x:v>N1.2</x:v>
      </x:c>
      <x:c r="B9" s="15" t="n">
        <x:v>1</x:v>
      </x:c>
      <x:c r="C9" s="15" t="n">
        <x:v>2</x:v>
      </x:c>
      <x:c r="D9" s="13" t="str">
        <x:v>Sistema de Gás Natural</x:v>
      </x:c>
      <x:c r="E9" s="13" t="str">
        <x:v>Grande Vazamento/Liberação de Gás (linha de 12")</x:v>
      </x:c>
      <x:c r="F9" s="11"/>
      <x:c r="G9" s="11"/>
      <x:c r="H9" s="11" t="str">
        <x:v>A definir</x:v>
      </x:c>
      <x:c r="I9" s="11"/>
      <x:c r="J9" s="16"/>
      <x:c r="K9" s="16"/>
      <x:c r="L9" s="16"/>
      <x:c r="M9" s="16"/>
      <x:c r="N9" s="16"/>
      <x:c r="O9" s="18"/>
      <x:c r="P9" s="11"/>
      <x:c r="Q9" s="16"/>
      <x:c r="R9" s="15" t="n">
        <x:v>2</x:v>
      </x:c>
    </x:row>
    <x:row r="10" ht="37" customHeight="1">
      <x:c r="A10" s="14" t="str">
        <x:v>N1.4</x:v>
      </x:c>
      <x:c r="B10" s="15" t="n">
        <x:v>1</x:v>
      </x:c>
      <x:c r="C10" s="15" t="n">
        <x:v>4</x:v>
      </x:c>
      <x:c r="D10" s="13" t="str">
        <x:v>Sistema de Gás Natural</x:v>
      </x:c>
      <x:c r="E10" s="13" t="str">
        <x:v>Grande Vazamento/Liberação de Gás (linha de 8")</x:v>
      </x:c>
      <x:c r="F10" s="11"/>
      <x:c r="G10" s="11"/>
      <x:c r="H10" s="11" t="str">
        <x:v>A definir</x:v>
      </x:c>
      <x:c r="I10" s="11"/>
      <x:c r="J10" s="16"/>
      <x:c r="K10" s="16"/>
      <x:c r="L10" s="16"/>
      <x:c r="M10" s="16"/>
      <x:c r="N10" s="16"/>
      <x:c r="O10" s="18"/>
      <x:c r="P10" s="11"/>
      <x:c r="Q10" s="16"/>
      <x:c r="R10" s="15" t="n">
        <x:v>4</x:v>
      </x:c>
    </x:row>
    <x:row r="11" ht="37" customHeight="1">
      <x:c r="A11" s="14" t="str">
        <x:v>N1.5</x:v>
      </x:c>
      <x:c r="B11" s="15" t="n">
        <x:v>1</x:v>
      </x:c>
      <x:c r="C11" s="15" t="n">
        <x:v>5</x:v>
      </x:c>
      <x:c r="D11" s="13" t="str">
        <x:v>Sistema de Gás Natural</x:v>
      </x:c>
      <x:c r="E11" s="13" t="str">
        <x:v>Grande Vazamento/Liberação de Gás (filtros de gás)</x:v>
      </x:c>
      <x:c r="F11" s="11"/>
      <x:c r="G11" s="11"/>
      <x:c r="H11" s="11" t="str">
        <x:v>A definir</x:v>
      </x:c>
      <x:c r="I11" s="11"/>
      <x:c r="J11" s="16"/>
      <x:c r="K11" s="16"/>
      <x:c r="L11" s="16"/>
      <x:c r="M11" s="16"/>
      <x:c r="N11" s="16"/>
      <x:c r="O11" s="18"/>
      <x:c r="P11" s="11"/>
      <x:c r="Q11" s="16"/>
      <x:c r="R11" s="15" t="n">
        <x:v>5</x:v>
      </x:c>
    </x:row>
    <x:row r="12" ht="37" customHeight="1">
      <x:c r="A12" s="14" t="str">
        <x:v>N1.6</x:v>
      </x:c>
      <x:c r="B12" s="15" t="n">
        <x:v>1</x:v>
      </x:c>
      <x:c r="C12" s="15" t="n">
        <x:v>6</x:v>
      </x:c>
      <x:c r="D12" s="13" t="str">
        <x:v>Sistema de Gás Natural</x:v>
      </x:c>
      <x:c r="E12" s="13" t="str">
        <x:v>Grande Vazamento/Liberação de Gás (scrubbers de gás)</x:v>
      </x:c>
      <x:c r="F12" s="11"/>
      <x:c r="G12" s="11"/>
      <x:c r="H12" s="11" t="str">
        <x:v>A definir</x:v>
      </x:c>
      <x:c r="I12" s="11"/>
      <x:c r="J12" s="16"/>
      <x:c r="K12" s="16"/>
      <x:c r="L12" s="16"/>
      <x:c r="M12" s="16"/>
      <x:c r="N12" s="16"/>
      <x:c r="O12" s="18"/>
      <x:c r="P12" s="11"/>
      <x:c r="Q12" s="16"/>
      <x:c r="R12" s="15" t="n">
        <x:v>6</x:v>
      </x:c>
    </x:row>
    <x:row r="13" ht="37" customHeight="1">
      <x:c r="A13" s="14" t="str">
        <x:v>N1.8</x:v>
      </x:c>
      <x:c r="B13" s="15" t="n">
        <x:v>1</x:v>
      </x:c>
      <x:c r="C13" s="15" t="n">
        <x:v>8</x:v>
      </x:c>
      <x:c r="D13" s="13" t="str">
        <x:v>Sistema de Gás Natural</x:v>
      </x:c>
      <x:c r="E13" s="13" t="str">
        <x:v>Grande Vazamento/Liberação de Gás (tanque de condensado)</x:v>
      </x:c>
      <x:c r="F13" s="11"/>
      <x:c r="G13" s="11"/>
      <x:c r="H13" s="11" t="str">
        <x:v>A definir</x:v>
      </x:c>
      <x:c r="I13" s="11"/>
      <x:c r="J13" s="16"/>
      <x:c r="K13" s="16"/>
      <x:c r="L13" s="16"/>
      <x:c r="M13" s="16"/>
      <x:c r="N13" s="16"/>
      <x:c r="O13" s="18"/>
      <x:c r="P13" s="11"/>
      <x:c r="Q13" s="16"/>
      <x:c r="R13" s="15" t="n">
        <x:v>8</x:v>
      </x:c>
    </x:row>
    <x:row r="14" ht="37" customHeight="1">
      <x:c r="A14" s="14" t="str">
        <x:v>N1.10</x:v>
      </x:c>
      <x:c r="B14" s="15" t="n">
        <x:v>1</x:v>
      </x:c>
      <x:c r="C14" s="15" t="n">
        <x:v>10</x:v>
      </x:c>
      <x:c r="D14" s="13" t="str">
        <x:v>Sistema de Gás Natural</x:v>
      </x:c>
      <x:c r="E14" s="13" t="str">
        <x:v>Grande Liberação de Hidrocarboneto Gasoso</x:v>
      </x:c>
      <x:c r="F14" s="11"/>
      <x:c r="G14" s="11"/>
      <x:c r="H14" s="11" t="str">
        <x:v>A definir</x:v>
      </x:c>
      <x:c r="I14" s="11"/>
      <x:c r="J14" s="16"/>
      <x:c r="K14" s="16"/>
      <x:c r="L14" s="16"/>
      <x:c r="M14" s="16"/>
      <x:c r="N14" s="16"/>
      <x:c r="O14" s="18"/>
      <x:c r="P14" s="11"/>
      <x:c r="Q14" s="16"/>
      <x:c r="R14" s="15" t="n">
        <x:v>10</x:v>
      </x:c>
    </x:row>
    <x:row r="15" ht="37" customHeight="1">
      <x:c r="A15" s="14" t="str">
        <x:v>N2.2</x:v>
      </x:c>
      <x:c r="B15" s="15" t="n">
        <x:v>2</x:v>
      </x:c>
      <x:c r="C15" s="15" t="n">
        <x:v>2</x:v>
      </x:c>
      <x:c r="D15" s="13" t="str">
        <x:v>Sistema de Turbinas a Gás</x:v>
      </x:c>
      <x:c r="E15" s="13" t="str">
        <x:v>Grande Vazamento/Liberação de Gás H2</x:v>
      </x:c>
      <x:c r="F15" s="11"/>
      <x:c r="G15" s="11"/>
      <x:c r="H15" s="11" t="str">
        <x:v>A definir</x:v>
      </x:c>
      <x:c r="I15" s="11"/>
      <x:c r="J15" s="16"/>
      <x:c r="K15" s="16"/>
      <x:c r="L15" s="16"/>
      <x:c r="M15" s="16"/>
      <x:c r="N15" s="16"/>
      <x:c r="O15" s="18"/>
      <x:c r="P15" s="11"/>
      <x:c r="Q15" s="16"/>
      <x:c r="R15" s="15" t="n">
        <x:v>14</x:v>
      </x:c>
    </x:row>
    <x:row r="16" ht="37" customHeight="1">
      <x:c r="A16" s="14" t="str">
        <x:v>N2.5</x:v>
      </x:c>
      <x:c r="B16" s="15" t="n">
        <x:v>2</x:v>
      </x:c>
      <x:c r="C16" s="15" t="n">
        <x:v>5</x:v>
      </x:c>
      <x:c r="D16" s="13" t="str">
        <x:v>Sistema de Turbinas a Gás</x:v>
      </x:c>
      <x:c r="E16" s="13" t="str">
        <x:v>Grande Liberação de Gás CO2 (sistema de combate)</x:v>
      </x:c>
      <x:c r="F16" s="11"/>
      <x:c r="G16" s="11"/>
      <x:c r="H16" s="11" t="str">
        <x:v>A definir</x:v>
      </x:c>
      <x:c r="I16" s="11"/>
      <x:c r="J16" s="16"/>
      <x:c r="K16" s="16"/>
      <x:c r="L16" s="16"/>
      <x:c r="M16" s="16"/>
      <x:c r="N16" s="16"/>
      <x:c r="O16" s="18"/>
      <x:c r="P16" s="11"/>
      <x:c r="Q16" s="16"/>
      <x:c r="R16" s="15" t="n">
        <x:v>18</x:v>
      </x:c>
    </x:row>
    <x:row r="17" ht="37" customHeight="1">
      <x:c r="A17" s="14" t="str">
        <x:v>N3.2</x:v>
      </x:c>
      <x:c r="B17" s="15" t="n">
        <x:v>3</x:v>
      </x:c>
      <x:c r="C17" s="15" t="n">
        <x:v>2</x:v>
      </x:c>
      <x:c r="D17" s="13" t="str">
        <x:v>Sistema de Produção de água desmineralizada e</x:v>
      </x:c>
      <x:c r="E17" s="13" t="str">
        <x:v>Grande Vazamento/Liberação de Água Pressurizada</x:v>
      </x:c>
      <x:c r="F17" s="11"/>
      <x:c r="G17" s="11"/>
      <x:c r="H17" s="11" t="str">
        <x:v>A definir</x:v>
      </x:c>
      <x:c r="I17" s="11"/>
      <x:c r="J17" s="16"/>
      <x:c r="K17" s="16"/>
      <x:c r="L17" s="16"/>
      <x:c r="M17" s="16"/>
      <x:c r="N17" s="16"/>
      <x:c r="O17" s="18"/>
      <x:c r="P17" s="11"/>
      <x:c r="Q17" s="16"/>
      <x:c r="R17" s="15" t="n">
        <x:v>25</x:v>
      </x:c>
    </x:row>
    <x:row r="18" ht="37" customHeight="1">
      <x:c r="A18" s="14" t="str">
        <x:v>N4.2</x:v>
      </x:c>
      <x:c r="B18" s="15" t="n">
        <x:v>4</x:v>
      </x:c>
      <x:c r="C18" s="15" t="n">
        <x:v>2</x:v>
      </x:c>
      <x:c r="D18" s="13" t="str">
        <x:v>Sistema de Produção de água desmineralizada e</x:v>
      </x:c>
      <x:c r="E18" s="13" t="str">
        <x:v>Grande Vazamento/Liberação de Produtos Químicos (HIPOCLORITO)</x:v>
      </x:c>
      <x:c r="F18" s="11"/>
      <x:c r="G18" s="11"/>
      <x:c r="H18" s="11" t="str">
        <x:v>A definir</x:v>
      </x:c>
      <x:c r="I18" s="11"/>
      <x:c r="J18" s="16"/>
      <x:c r="K18" s="16"/>
      <x:c r="L18" s="16"/>
      <x:c r="M18" s="16"/>
      <x:c r="N18" s="16"/>
      <x:c r="O18" s="18"/>
      <x:c r="P18" s="11"/>
      <x:c r="Q18" s="16"/>
      <x:c r="R18" s="15" t="n">
        <x:v>29</x:v>
      </x:c>
    </x:row>
    <x:row r="19" ht="37" customHeight="1">
      <x:c r="A19" s="14" t="str">
        <x:v>N4.4</x:v>
      </x:c>
      <x:c r="B19" s="15" t="n">
        <x:v>4</x:v>
      </x:c>
      <x:c r="C19" s="15" t="n">
        <x:v>4</x:v>
      </x:c>
      <x:c r="D19" s="13" t="str">
        <x:v>Sistema de Produção de água desmineralizada e</x:v>
      </x:c>
      <x:c r="E19" s="13" t="str">
        <x:v>Grande Vazamento/Liberação de Produtos Químicos (SULFATO DE ALUMÍNIO)</x:v>
      </x:c>
      <x:c r="F19" s="11"/>
      <x:c r="G19" s="11"/>
      <x:c r="H19" s="11" t="str">
        <x:v>A definir</x:v>
      </x:c>
      <x:c r="I19" s="11"/>
      <x:c r="J19" s="16"/>
      <x:c r="K19" s="16"/>
      <x:c r="L19" s="16"/>
      <x:c r="M19" s="16"/>
      <x:c r="N19" s="16"/>
      <x:c r="O19" s="18"/>
      <x:c r="P19" s="11"/>
      <x:c r="Q19" s="16"/>
      <x:c r="R19" s="15" t="n">
        <x:v>32</x:v>
      </x:c>
    </x:row>
    <x:row r="20" ht="37" customHeight="1">
      <x:c r="A20" s="14" t="str">
        <x:v>N5.2</x:v>
      </x:c>
      <x:c r="B20" s="15" t="n">
        <x:v>5</x:v>
      </x:c>
      <x:c r="C20" s="15" t="n">
        <x:v>2</x:v>
      </x:c>
      <x:c r="D20" s="13" t="str">
        <x:v>Sistema de Produção de água desmineralizada e</x:v>
      </x:c>
      <x:c r="E20" s="13" t="str">
        <x:v>Grande Vazamento/Liberação de Produtos Químicos (Ácido Sulfúrico)</x:v>
      </x:c>
      <x:c r="F20" s="11"/>
      <x:c r="G20" s="11"/>
      <x:c r="H20" s="11" t="str">
        <x:v>A definir</x:v>
      </x:c>
      <x:c r="I20" s="11"/>
      <x:c r="J20" s="16"/>
      <x:c r="K20" s="16"/>
      <x:c r="L20" s="16"/>
      <x:c r="M20" s="16"/>
      <x:c r="N20" s="16"/>
      <x:c r="O20" s="18"/>
      <x:c r="P20" s="11"/>
      <x:c r="Q20" s="16"/>
      <x:c r="R20" s="15" t="n">
        <x:v>40</x:v>
      </x:c>
    </x:row>
    <x:row r="21" ht="37" customHeight="1">
      <x:c r="A21" s="14" t="str">
        <x:v>N5.4</x:v>
      </x:c>
      <x:c r="B21" s="15" t="n">
        <x:v>5</x:v>
      </x:c>
      <x:c r="C21" s="15" t="n">
        <x:v>4</x:v>
      </x:c>
      <x:c r="D21" s="13" t="str">
        <x:v>Sistema de Produção de água desmineralizada e</x:v>
      </x:c>
      <x:c r="E21" s="13" t="str">
        <x:v>Grande Vazamento/Liberação de Produtos Químicos (Soda Cáustica)</x:v>
      </x:c>
      <x:c r="F21" s="11"/>
      <x:c r="G21" s="11"/>
      <x:c r="H21" s="11" t="str">
        <x:v>A definir</x:v>
      </x:c>
      <x:c r="I21" s="11"/>
      <x:c r="J21" s="16"/>
      <x:c r="K21" s="16"/>
      <x:c r="L21" s="16"/>
      <x:c r="M21" s="16"/>
      <x:c r="N21" s="16"/>
      <x:c r="O21" s="18"/>
      <x:c r="P21" s="11"/>
      <x:c r="Q21" s="16"/>
      <x:c r="R21" s="15" t="n">
        <x:v>43</x:v>
      </x:c>
    </x:row>
    <x:row r="22" ht="37" customHeight="1">
      <x:c r="A22" s="14" t="str">
        <x:v>N5.7</x:v>
      </x:c>
      <x:c r="B22" s="15" t="n">
        <x:v>5</x:v>
      </x:c>
      <x:c r="C22" s="15" t="n">
        <x:v>7</x:v>
      </x:c>
      <x:c r="D22" s="13" t="str">
        <x:v>Sistema de Produção de água desmineralizada e</x:v>
      </x:c>
      <x:c r="E22" s="13" t="str">
        <x:v>Liberação de energia descontrolada</x:v>
      </x:c>
      <x:c r="F22" s="11"/>
      <x:c r="G22" s="11"/>
      <x:c r="H22" s="11" t="str">
        <x:v>A definir</x:v>
      </x:c>
      <x:c r="I22" s="11"/>
      <x:c r="J22" s="16"/>
      <x:c r="K22" s="16"/>
      <x:c r="L22" s="16"/>
      <x:c r="M22" s="16"/>
      <x:c r="N22" s="16"/>
      <x:c r="O22" s="18"/>
      <x:c r="P22" s="11"/>
      <x:c r="Q22" s="16"/>
      <x:c r="R22" s="15" t="n">
        <x:v>46</x:v>
      </x:c>
    </x:row>
    <x:row r="23" ht="37" customHeight="1">
      <x:c r="A23" s="14" t="str">
        <x:v>N9.2</x:v>
      </x:c>
      <x:c r="B23" s="15" t="n">
        <x:v>9</x:v>
      </x:c>
      <x:c r="C23" s="15" t="n">
        <x:v>2</x:v>
      </x:c>
      <x:c r="D23" s="13" t="str">
        <x:v>Sistema de Ar Comprimido</x:v>
      </x:c>
      <x:c r="E23" s="13" t="str">
        <x:v>Grande Liberação de Ar Comprimido</x:v>
      </x:c>
      <x:c r="F23" s="11"/>
      <x:c r="G23" s="11"/>
      <x:c r="H23" s="11" t="str">
        <x:v>A definir</x:v>
      </x:c>
      <x:c r="I23" s="11"/>
      <x:c r="J23" s="16"/>
      <x:c r="K23" s="16"/>
      <x:c r="L23" s="16"/>
      <x:c r="M23" s="16"/>
      <x:c r="N23" s="16"/>
      <x:c r="O23" s="18"/>
      <x:c r="P23" s="11"/>
      <x:c r="Q23" s="16"/>
      <x:c r="R23" s="15" t="n">
        <x:v>66</x:v>
      </x:c>
    </x:row>
    <x:row r="24" ht="37" customHeight="1">
      <x:c r="A24" s="14" t="str">
        <x:v>N10.4</x:v>
      </x:c>
      <x:c r="B24" s="15" t="n">
        <x:v>10</x:v>
      </x:c>
      <x:c r="C24" s="15" t="n">
        <x:v>4</x:v>
      </x:c>
      <x:c r="D24" s="13" t="str">
        <x:v>Sistema de Geração de Energia Elétrica</x:v>
      </x:c>
      <x:c r="E24" s="13" t="str">
        <x:v>Grande Vazamento/Liberação de Combustível Líquido (Óleo Isolante - TRAFOs Elevadores)</x:v>
      </x:c>
      <x:c r="F24" s="11"/>
      <x:c r="G24" s="11"/>
      <x:c r="H24" s="11" t="str">
        <x:v>A definir</x:v>
      </x:c>
      <x:c r="I24" s="11"/>
      <x:c r="J24" s="16"/>
      <x:c r="K24" s="16"/>
      <x:c r="L24" s="16"/>
      <x:c r="M24" s="16"/>
      <x:c r="N24" s="16"/>
      <x:c r="O24" s="18"/>
      <x:c r="P24" s="11"/>
      <x:c r="Q24" s="16"/>
      <x:c r="R24" s="15" t="n">
        <x:v>71</x:v>
      </x:c>
    </x:row>
    <x:row r="25" ht="37" customHeight="1">
      <x:c r="A25" s="14" t="str">
        <x:v>N10.11</x:v>
      </x:c>
      <x:c r="B25" s="15" t="n">
        <x:v>10</x:v>
      </x:c>
      <x:c r="C25" s="15" t="n">
        <x:v>11</x:v>
      </x:c>
      <x:c r="D25" s="13" t="str">
        <x:v>Sistema de Geração de Energia Elétrica</x:v>
      </x:c>
      <x:c r="E25" s="13" t="str">
        <x:v>Tombamento das torres da linha de transmissão</x:v>
      </x:c>
      <x:c r="F25" s="11"/>
      <x:c r="G25" s="11"/>
      <x:c r="H25" s="11" t="str">
        <x:v>A definir</x:v>
      </x:c>
      <x:c r="I25" s="11"/>
      <x:c r="J25" s="16"/>
      <x:c r="K25" s="16"/>
      <x:c r="L25" s="16"/>
      <x:c r="M25" s="16"/>
      <x:c r="N25" s="16"/>
      <x:c r="O25" s="18"/>
      <x:c r="P25" s="11"/>
      <x:c r="Q25" s="16"/>
      <x:c r="R25" s="15" t="n">
        <x:v>77</x:v>
      </x:c>
    </x:row>
    <x:row r="26">
      <x:c r="A26"/>
      <x:c r="H26"/>
      <x:c r="J26" s="17"/>
      <x:c r="K26" s="17"/>
      <x:c r="L26" s="17"/>
      <x:c r="M26" s="17"/>
      <x:c r="N26" s="17"/>
      <x:c r="O26" s="19"/>
      <x:c r="Q26" s="17"/>
    </x:row>
    <x:row r="27">
      <x:c r="J27" s="17"/>
      <x:c r="K27" s="17"/>
      <x:c r="L27" s="17"/>
      <x:c r="M27" s="17"/>
      <x:c r="N27" s="17"/>
      <x:c r="O27" s="19"/>
      <x:c r="Q27" s="17"/>
    </x:row>
    <x:row r="28">
      <x:c r="J28" s="17"/>
      <x:c r="K28" s="17"/>
      <x:c r="L28" s="17"/>
      <x:c r="M28" s="17"/>
      <x:c r="N28" s="17"/>
      <x:c r="O28" s="19"/>
      <x:c r="Q28" s="17"/>
    </x:row>
    <x:row r="29">
      <x:c r="J29" s="17"/>
      <x:c r="K29" s="17"/>
      <x:c r="L29" s="17"/>
      <x:c r="M29" s="17"/>
      <x:c r="N29" s="17"/>
      <x:c r="O29" s="19"/>
      <x:c r="Q29" s="17"/>
    </x:row>
    <x:row r="30">
      <x:c r="J30" s="17"/>
      <x:c r="K30" s="17"/>
      <x:c r="L30" s="17"/>
      <x:c r="M30" s="17"/>
      <x:c r="N30" s="17"/>
      <x:c r="O30" s="19"/>
      <x:c r="Q30" s="17"/>
    </x:row>
    <x:row r="31">
      <x:c r="J31" s="17"/>
      <x:c r="K31" s="17"/>
      <x:c r="L31" s="17"/>
      <x:c r="M31" s="17"/>
      <x:c r="N31" s="17"/>
      <x:c r="O31" s="19"/>
      <x:c r="Q31" s="17"/>
    </x:row>
    <x:row r="32">
      <x:c r="J32" s="17"/>
      <x:c r="K32" s="17"/>
      <x:c r="L32" s="17"/>
      <x:c r="M32" s="17"/>
      <x:c r="N32" s="17"/>
      <x:c r="O32" s="19"/>
      <x:c r="Q32" s="17"/>
    </x:row>
    <x:row r="33">
      <x:c r="J33" s="17"/>
      <x:c r="K33" s="17"/>
      <x:c r="L33" s="17"/>
      <x:c r="M33" s="17"/>
      <x:c r="N33" s="17"/>
      <x:c r="O33" s="19"/>
      <x:c r="Q33" s="17"/>
    </x:row>
    <x:row r="34">
      <x:c r="J34" s="17"/>
      <x:c r="K34" s="17"/>
      <x:c r="L34" s="17"/>
      <x:c r="M34" s="17"/>
      <x:c r="N34" s="17"/>
      <x:c r="O34" s="19"/>
      <x:c r="Q34" s="17"/>
    </x:row>
    <x:row r="35">
      <x:c r="J35" s="17"/>
      <x:c r="K35" s="17"/>
      <x:c r="L35" s="17"/>
      <x:c r="M35" s="17"/>
      <x:c r="N35" s="17"/>
      <x:c r="O35" s="19"/>
      <x:c r="Q35" s="17"/>
    </x:row>
    <x:row r="36">
      <x:c r="J36" s="17"/>
      <x:c r="K36" s="17"/>
      <x:c r="L36" s="17"/>
      <x:c r="M36" s="17"/>
      <x:c r="N36" s="17"/>
      <x:c r="O36" s="19"/>
      <x:c r="Q36" s="17"/>
    </x:row>
    <x:row r="37">
      <x:c r="J37" s="17"/>
      <x:c r="K37" s="17"/>
      <x:c r="L37" s="17"/>
      <x:c r="M37" s="17"/>
      <x:c r="N37" s="17"/>
      <x:c r="O37" s="19"/>
      <x:c r="Q37" s="17"/>
    </x:row>
    <x:row r="38">
      <x:c r="J38" s="17"/>
      <x:c r="K38" s="17"/>
      <x:c r="L38" s="17"/>
      <x:c r="M38" s="17"/>
      <x:c r="N38" s="17"/>
      <x:c r="O38" s="19"/>
      <x:c r="Q38" s="17"/>
    </x:row>
    <x:row r="39">
      <x:c r="J39" s="17"/>
      <x:c r="K39" s="17"/>
      <x:c r="L39" s="17"/>
      <x:c r="M39" s="17"/>
      <x:c r="N39" s="17"/>
      <x:c r="O39" s="19"/>
      <x:c r="Q39" s="17"/>
    </x:row>
    <x:row r="40">
      <x:c r="J40" s="17"/>
      <x:c r="K40" s="17"/>
      <x:c r="L40" s="17"/>
      <x:c r="M40" s="17"/>
      <x:c r="N40" s="17"/>
      <x:c r="O40" s="19"/>
      <x:c r="Q40" s="17"/>
    </x:row>
    <x:row r="41">
      <x:c r="J41" s="17"/>
      <x:c r="K41" s="17"/>
      <x:c r="L41" s="17"/>
      <x:c r="M41" s="17"/>
      <x:c r="N41" s="17"/>
      <x:c r="O41" s="19"/>
      <x:c r="Q41" s="17"/>
    </x:row>
    <x:row r="42">
      <x:c r="J42" s="17"/>
      <x:c r="K42" s="17"/>
      <x:c r="L42" s="17"/>
      <x:c r="M42" s="17"/>
      <x:c r="N42" s="17"/>
      <x:c r="O42" s="19"/>
      <x:c r="Q42" s="17"/>
    </x:row>
    <x:row r="43">
      <x:c r="J43" s="17"/>
      <x:c r="K43" s="17"/>
      <x:c r="L43" s="17"/>
      <x:c r="M43" s="17"/>
      <x:c r="N43" s="17"/>
      <x:c r="O43" s="19"/>
      <x:c r="Q43" s="17"/>
    </x:row>
    <x:row r="44">
      <x:c r="J44" s="17"/>
      <x:c r="K44" s="17"/>
      <x:c r="L44" s="17"/>
      <x:c r="M44" s="17"/>
      <x:c r="N44" s="17"/>
      <x:c r="O44" s="19"/>
      <x:c r="Q44" s="17"/>
    </x:row>
    <x:row r="45">
      <x:c r="J45" s="17"/>
      <x:c r="K45" s="17"/>
      <x:c r="L45" s="17"/>
      <x:c r="M45" s="17"/>
      <x:c r="N45" s="17"/>
      <x:c r="O45" s="19"/>
      <x:c r="Q45" s="17"/>
    </x:row>
    <x:row r="46">
      <x:c r="J46" s="17"/>
      <x:c r="K46" s="17"/>
      <x:c r="L46" s="17"/>
      <x:c r="M46" s="17"/>
      <x:c r="N46" s="17"/>
      <x:c r="O46" s="19"/>
      <x:c r="Q46" s="17"/>
    </x:row>
    <x:row r="47">
      <x:c r="J47" s="17"/>
      <x:c r="K47" s="17"/>
      <x:c r="L47" s="17"/>
      <x:c r="M47" s="17"/>
      <x:c r="N47" s="17"/>
      <x:c r="O47" s="19"/>
      <x:c r="Q47" s="17"/>
    </x:row>
    <x:row r="48">
      <x:c r="J48" s="17"/>
      <x:c r="K48" s="17"/>
      <x:c r="L48" s="17"/>
      <x:c r="M48" s="17"/>
      <x:c r="N48" s="17"/>
      <x:c r="O48" s="19"/>
      <x:c r="Q48" s="17"/>
    </x:row>
    <x:row r="49">
      <x:c r="J49" s="17"/>
      <x:c r="K49" s="17"/>
      <x:c r="L49" s="17"/>
      <x:c r="M49" s="17"/>
      <x:c r="N49" s="17"/>
      <x:c r="O49" s="19"/>
      <x:c r="Q49" s="17"/>
    </x:row>
    <x:row r="50">
      <x:c r="J50" s="17"/>
      <x:c r="K50" s="17"/>
      <x:c r="L50" s="17"/>
      <x:c r="M50" s="17"/>
      <x:c r="N50" s="17"/>
      <x:c r="O50" s="19"/>
      <x:c r="Q50" s="17"/>
    </x:row>
    <x:row r="51">
      <x:c r="J51" s="17"/>
      <x:c r="K51" s="17"/>
      <x:c r="L51" s="17"/>
      <x:c r="M51" s="17"/>
      <x:c r="N51" s="17"/>
      <x:c r="O51" s="19"/>
      <x:c r="Q51" s="17"/>
    </x:row>
    <x:row r="52">
      <x:c r="J52" s="17"/>
      <x:c r="K52" s="17"/>
      <x:c r="L52" s="17"/>
      <x:c r="M52" s="17"/>
      <x:c r="N52" s="17"/>
      <x:c r="O52" s="19"/>
      <x:c r="Q52" s="17"/>
    </x:row>
    <x:row r="53">
      <x:c r="J53" s="17"/>
      <x:c r="K53" s="17"/>
      <x:c r="L53" s="17"/>
      <x:c r="M53" s="17"/>
      <x:c r="N53" s="17"/>
      <x:c r="O53" s="19"/>
      <x:c r="Q53" s="17"/>
    </x:row>
    <x:row r="54">
      <x:c r="J54" s="17"/>
      <x:c r="K54" s="17"/>
      <x:c r="L54" s="17"/>
      <x:c r="M54" s="17"/>
      <x:c r="N54" s="17"/>
      <x:c r="O54" s="19"/>
      <x:c r="Q54" s="17"/>
    </x:row>
    <x:row r="55">
      <x:c r="J55" s="17"/>
      <x:c r="K55" s="17"/>
      <x:c r="L55" s="17"/>
      <x:c r="M55" s="17"/>
      <x:c r="N55" s="17"/>
      <x:c r="O55" s="19"/>
      <x:c r="Q55" s="17"/>
    </x:row>
    <x:row r="56">
      <x:c r="J56" s="17"/>
      <x:c r="K56" s="17"/>
      <x:c r="L56" s="17"/>
      <x:c r="M56" s="17"/>
      <x:c r="N56" s="17"/>
      <x:c r="O56" s="19"/>
      <x:c r="Q56" s="17"/>
    </x:row>
    <x:row r="57">
      <x:c r="J57" s="17"/>
      <x:c r="K57" s="17"/>
      <x:c r="L57" s="17"/>
      <x:c r="M57" s="17"/>
      <x:c r="N57" s="17"/>
      <x:c r="O57" s="19"/>
      <x:c r="Q57" s="17"/>
    </x:row>
    <x:row r="58">
      <x:c r="J58" s="17"/>
      <x:c r="K58" s="17"/>
      <x:c r="L58" s="17"/>
      <x:c r="M58" s="17"/>
      <x:c r="N58" s="17"/>
      <x:c r="O58" s="19"/>
      <x:c r="Q58" s="17"/>
    </x:row>
    <x:row r="59">
      <x:c r="J59" s="17"/>
      <x:c r="K59" s="17"/>
      <x:c r="L59" s="17"/>
      <x:c r="M59" s="17"/>
      <x:c r="N59" s="17"/>
      <x:c r="O59" s="19"/>
      <x:c r="Q59" s="17"/>
    </x:row>
    <x:row r="60">
      <x:c r="J60" s="17"/>
      <x:c r="K60" s="17"/>
      <x:c r="L60" s="17"/>
      <x:c r="M60" s="17"/>
      <x:c r="N60" s="17"/>
      <x:c r="O60" s="19"/>
      <x:c r="Q60" s="17"/>
    </x:row>
    <x:row r="61">
      <x:c r="J61" s="17"/>
      <x:c r="K61" s="17"/>
      <x:c r="L61" s="17"/>
      <x:c r="M61" s="17"/>
      <x:c r="N61" s="17"/>
      <x:c r="O61" s="19"/>
      <x:c r="Q61" s="17"/>
    </x:row>
    <x:row r="62">
      <x:c r="J62" s="17"/>
      <x:c r="K62" s="17"/>
      <x:c r="L62" s="17"/>
      <x:c r="M62" s="17"/>
      <x:c r="N62" s="17"/>
      <x:c r="O62" s="19"/>
      <x:c r="Q62" s="17"/>
    </x:row>
    <x:row r="63">
      <x:c r="J63" s="17"/>
      <x:c r="K63" s="17"/>
      <x:c r="L63" s="17"/>
      <x:c r="M63" s="17"/>
      <x:c r="N63" s="17"/>
      <x:c r="O63" s="19"/>
      <x:c r="Q63" s="17"/>
    </x:row>
    <x:row r="64">
      <x:c r="J64" s="17"/>
      <x:c r="K64" s="17"/>
      <x:c r="L64" s="17"/>
      <x:c r="M64" s="17"/>
      <x:c r="N64" s="17"/>
      <x:c r="O64" s="19"/>
      <x:c r="Q64" s="17"/>
    </x:row>
    <x:row r="65">
      <x:c r="J65" s="17"/>
      <x:c r="K65" s="17"/>
      <x:c r="L65" s="17"/>
      <x:c r="M65" s="17"/>
      <x:c r="N65" s="17"/>
      <x:c r="O65" s="19"/>
      <x:c r="Q65" s="17"/>
    </x:row>
    <x:row r="66">
      <x:c r="J66" s="17"/>
      <x:c r="K66" s="17"/>
      <x:c r="L66" s="17"/>
      <x:c r="M66" s="17"/>
      <x:c r="N66" s="17"/>
      <x:c r="O66" s="19"/>
      <x:c r="Q66" s="17"/>
    </x:row>
    <x:row r="67">
      <x:c r="J67" s="17"/>
      <x:c r="K67" s="17"/>
      <x:c r="L67" s="17"/>
      <x:c r="M67" s="17"/>
      <x:c r="N67" s="17"/>
      <x:c r="O67" s="19"/>
      <x:c r="Q67" s="17"/>
    </x:row>
    <x:row r="68">
      <x:c r="J68" s="17"/>
      <x:c r="K68" s="17"/>
      <x:c r="L68" s="17"/>
      <x:c r="M68" s="17"/>
      <x:c r="N68" s="17"/>
      <x:c r="O68" s="19"/>
      <x:c r="Q68" s="17"/>
    </x:row>
    <x:row r="69">
      <x:c r="J69" s="17"/>
      <x:c r="K69" s="17"/>
      <x:c r="L69" s="17"/>
      <x:c r="M69" s="17"/>
      <x:c r="N69" s="17"/>
      <x:c r="O69" s="19"/>
      <x:c r="Q69" s="17"/>
    </x:row>
    <x:row r="70">
      <x:c r="J70" s="17"/>
      <x:c r="K70" s="17"/>
      <x:c r="L70" s="17"/>
      <x:c r="M70" s="17"/>
      <x:c r="N70" s="17"/>
      <x:c r="O70" s="19"/>
      <x:c r="Q70" s="17"/>
    </x:row>
    <x:row r="71">
      <x:c r="J71" s="17"/>
      <x:c r="K71" s="17"/>
      <x:c r="L71" s="17"/>
      <x:c r="M71" s="17"/>
      <x:c r="N71" s="17"/>
      <x:c r="O71" s="19"/>
      <x:c r="Q71" s="17"/>
    </x:row>
    <x:row r="72">
      <x:c r="J72" s="17"/>
      <x:c r="K72" s="17"/>
      <x:c r="L72" s="17"/>
      <x:c r="M72" s="17"/>
      <x:c r="N72" s="17"/>
      <x:c r="O72" s="19"/>
      <x:c r="Q72" s="17"/>
    </x:row>
    <x:row r="73">
      <x:c r="J73" s="17"/>
      <x:c r="K73" s="17"/>
      <x:c r="L73" s="17"/>
      <x:c r="M73" s="17"/>
      <x:c r="N73" s="17"/>
      <x:c r="O73" s="19"/>
      <x:c r="Q73" s="17"/>
    </x:row>
    <x:row r="74">
      <x:c r="J74" s="17"/>
      <x:c r="K74" s="17"/>
      <x:c r="L74" s="17"/>
      <x:c r="M74" s="17"/>
      <x:c r="N74" s="17"/>
      <x:c r="O74" s="19"/>
      <x:c r="Q74" s="17"/>
    </x:row>
    <x:row r="75">
      <x:c r="J75" s="17"/>
      <x:c r="K75" s="17"/>
      <x:c r="L75" s="17"/>
      <x:c r="M75" s="17"/>
      <x:c r="N75" s="17"/>
      <x:c r="O75" s="19"/>
      <x:c r="Q75" s="17"/>
    </x:row>
    <x:row r="76">
      <x:c r="J76" s="17"/>
      <x:c r="K76" s="17"/>
      <x:c r="L76" s="17"/>
      <x:c r="M76" s="17"/>
      <x:c r="N76" s="17"/>
      <x:c r="O76" s="19"/>
      <x:c r="Q76" s="17"/>
    </x:row>
    <x:row r="77">
      <x:c r="J77" s="17"/>
      <x:c r="K77" s="17"/>
      <x:c r="L77" s="17"/>
      <x:c r="M77" s="17"/>
      <x:c r="N77" s="17"/>
      <x:c r="O77" s="19"/>
      <x:c r="Q77" s="17"/>
    </x:row>
    <x:row r="78">
      <x:c r="J78" s="17"/>
      <x:c r="K78" s="17"/>
      <x:c r="L78" s="17"/>
      <x:c r="M78" s="17"/>
      <x:c r="N78" s="17"/>
      <x:c r="O78" s="19"/>
      <x:c r="Q78" s="17"/>
    </x:row>
    <x:row r="79">
      <x:c r="J79" s="17"/>
      <x:c r="K79" s="17"/>
      <x:c r="L79" s="17"/>
      <x:c r="M79" s="17"/>
      <x:c r="N79" s="17"/>
      <x:c r="O79" s="19"/>
      <x:c r="Q79" s="17"/>
    </x:row>
    <x:row r="80">
      <x:c r="J80" s="17"/>
      <x:c r="K80" s="17"/>
      <x:c r="L80" s="17"/>
      <x:c r="M80" s="17"/>
      <x:c r="N80" s="17"/>
      <x:c r="O80" s="19"/>
      <x:c r="Q80" s="17"/>
    </x:row>
    <x:row r="81">
      <x:c r="J81" s="17"/>
      <x:c r="K81" s="17"/>
      <x:c r="L81" s="17"/>
      <x:c r="M81" s="17"/>
      <x:c r="N81" s="17"/>
      <x:c r="O81" s="19"/>
      <x:c r="Q81" s="17"/>
    </x:row>
    <x:row r="82">
      <x:c r="J82" s="17"/>
      <x:c r="K82" s="17"/>
      <x:c r="L82" s="17"/>
      <x:c r="M82" s="17"/>
      <x:c r="N82" s="17"/>
      <x:c r="O82" s="19"/>
      <x:c r="Q82" s="17"/>
    </x:row>
    <x:row r="83">
      <x:c r="J83" s="17"/>
      <x:c r="K83" s="17"/>
      <x:c r="L83" s="17"/>
      <x:c r="M83" s="17"/>
      <x:c r="N83" s="17"/>
      <x:c r="O83" s="19"/>
      <x:c r="Q83" s="17"/>
    </x:row>
    <x:row r="84">
      <x:c r="J84" s="17"/>
      <x:c r="K84" s="17"/>
      <x:c r="L84" s="17"/>
      <x:c r="M84" s="17"/>
      <x:c r="N84" s="17"/>
      <x:c r="O84" s="19"/>
      <x:c r="Q84" s="17"/>
    </x:row>
    <x:row r="85">
      <x:c r="J85" s="17"/>
      <x:c r="K85" s="17"/>
      <x:c r="L85" s="17"/>
      <x:c r="M85" s="17"/>
      <x:c r="N85" s="17"/>
      <x:c r="O85" s="19"/>
      <x:c r="Q85" s="17"/>
    </x:row>
    <x:row r="86">
      <x:c r="J86" s="17"/>
      <x:c r="K86" s="17"/>
      <x:c r="L86" s="17"/>
      <x:c r="M86" s="17"/>
      <x:c r="N86" s="17"/>
      <x:c r="O86" s="19"/>
      <x:c r="Q86" s="17"/>
    </x:row>
    <x:row r="87">
      <x:c r="J87" s="17"/>
      <x:c r="K87" s="17"/>
      <x:c r="L87" s="17"/>
      <x:c r="M87" s="17"/>
      <x:c r="N87" s="17"/>
      <x:c r="O87" s="19"/>
      <x:c r="Q87" s="17"/>
    </x:row>
    <x:row r="88">
      <x:c r="J88" s="17"/>
      <x:c r="K88" s="17"/>
      <x:c r="L88" s="17"/>
      <x:c r="M88" s="17"/>
      <x:c r="N88" s="17"/>
      <x:c r="O88" s="19"/>
      <x:c r="Q88" s="17"/>
    </x:row>
    <x:row r="89">
      <x:c r="J89" s="17"/>
      <x:c r="K89" s="17"/>
      <x:c r="L89" s="17"/>
      <x:c r="M89" s="17"/>
      <x:c r="N89" s="17"/>
      <x:c r="O89" s="19"/>
      <x:c r="Q89" s="17"/>
    </x:row>
    <x:row r="90">
      <x:c r="J90" s="17"/>
      <x:c r="K90" s="17"/>
      <x:c r="L90" s="17"/>
      <x:c r="M90" s="17"/>
      <x:c r="N90" s="17"/>
      <x:c r="O90" s="19"/>
      <x:c r="Q90" s="17"/>
    </x:row>
    <x:row r="91">
      <x:c r="J91" s="17"/>
      <x:c r="K91" s="17"/>
      <x:c r="L91" s="17"/>
      <x:c r="M91" s="17"/>
      <x:c r="N91" s="17"/>
      <x:c r="O91" s="19"/>
      <x:c r="Q91" s="17"/>
    </x:row>
    <x:row r="92">
      <x:c r="J92" s="17"/>
      <x:c r="K92" s="17"/>
      <x:c r="L92" s="17"/>
      <x:c r="M92" s="17"/>
      <x:c r="N92" s="17"/>
      <x:c r="O92" s="19"/>
      <x:c r="Q92" s="17"/>
    </x:row>
    <x:row r="93">
      <x:c r="J93" s="17"/>
      <x:c r="K93" s="17"/>
      <x:c r="L93" s="17"/>
      <x:c r="M93" s="17"/>
      <x:c r="N93" s="17"/>
      <x:c r="O93" s="19"/>
      <x:c r="Q93" s="17"/>
    </x:row>
    <x:row r="94">
      <x:c r="J94" s="17"/>
      <x:c r="K94" s="17"/>
      <x:c r="L94" s="17"/>
      <x:c r="M94" s="17"/>
      <x:c r="N94" s="17"/>
      <x:c r="O94" s="19"/>
      <x:c r="Q94" s="17"/>
    </x:row>
    <x:row r="95">
      <x:c r="J95" s="17"/>
      <x:c r="K95" s="17"/>
      <x:c r="L95" s="17"/>
      <x:c r="M95" s="17"/>
      <x:c r="N95" s="17"/>
      <x:c r="O95" s="19"/>
      <x:c r="Q95" s="17"/>
    </x:row>
    <x:row r="96">
      <x:c r="J96" s="17"/>
      <x:c r="K96" s="17"/>
      <x:c r="L96" s="17"/>
      <x:c r="M96" s="17"/>
      <x:c r="N96" s="17"/>
      <x:c r="O96" s="19"/>
      <x:c r="Q96" s="17"/>
    </x:row>
    <x:row r="97">
      <x:c r="J97" s="17"/>
      <x:c r="K97" s="17"/>
      <x:c r="L97" s="17"/>
      <x:c r="M97" s="17"/>
      <x:c r="N97" s="17"/>
      <x:c r="O97" s="19"/>
      <x:c r="Q97" s="17"/>
    </x:row>
    <x:row r="98">
      <x:c r="J98" s="17"/>
      <x:c r="K98" s="17"/>
      <x:c r="L98" s="17"/>
      <x:c r="M98" s="17"/>
      <x:c r="N98" s="17"/>
      <x:c r="O98" s="19"/>
      <x:c r="Q98" s="17"/>
    </x:row>
    <x:row r="99">
      <x:c r="J99" s="17"/>
      <x:c r="K99" s="17"/>
      <x:c r="L99" s="17"/>
      <x:c r="M99" s="17"/>
      <x:c r="N99" s="17"/>
      <x:c r="O99" s="19"/>
      <x:c r="Q99" s="17"/>
    </x:row>
    <x:row r="100">
      <x:c r="J100" s="17"/>
      <x:c r="K100" s="17"/>
      <x:c r="L100" s="17"/>
      <x:c r="M100" s="17"/>
      <x:c r="N100" s="17"/>
      <x:c r="O100" s="19"/>
      <x:c r="Q100" s="17"/>
    </x:row>
    <x:row r="101">
      <x:c r="J101" s="17"/>
      <x:c r="K101" s="17"/>
      <x:c r="L101" s="17"/>
      <x:c r="M101" s="17"/>
      <x:c r="N101" s="17"/>
      <x:c r="O101" s="19"/>
      <x:c r="Q101" s="17"/>
    </x:row>
    <x:row r="102">
      <x:c r="J102" s="17"/>
      <x:c r="K102" s="17"/>
      <x:c r="L102" s="17"/>
      <x:c r="M102" s="17"/>
      <x:c r="N102" s="17"/>
      <x:c r="O102" s="19"/>
      <x:c r="Q102" s="17"/>
    </x:row>
    <x:row r="103">
      <x:c r="J103" s="17"/>
      <x:c r="K103" s="17"/>
      <x:c r="L103" s="17"/>
      <x:c r="M103" s="17"/>
      <x:c r="N103" s="17"/>
      <x:c r="O103" s="19"/>
      <x:c r="Q103" s="17"/>
    </x:row>
    <x:row r="104">
      <x:c r="J104" s="17"/>
      <x:c r="K104" s="17"/>
      <x:c r="L104" s="17"/>
      <x:c r="M104" s="17"/>
      <x:c r="N104" s="17"/>
      <x:c r="O104" s="19"/>
      <x:c r="Q104" s="17"/>
    </x:row>
    <x:row r="105">
      <x:c r="J105" s="17"/>
      <x:c r="K105" s="17"/>
      <x:c r="L105" s="17"/>
      <x:c r="M105" s="17"/>
      <x:c r="N105" s="17"/>
      <x:c r="O105" s="19"/>
      <x:c r="Q105" s="17"/>
    </x:row>
    <x:row r="106">
      <x:c r="J106" s="17"/>
      <x:c r="K106" s="17"/>
      <x:c r="L106" s="17"/>
      <x:c r="M106" s="17"/>
      <x:c r="N106" s="17"/>
      <x:c r="O106" s="19"/>
      <x:c r="Q106" s="17"/>
    </x:row>
    <x:row r="107">
      <x:c r="J107" s="17"/>
      <x:c r="K107" s="17"/>
      <x:c r="L107" s="17"/>
      <x:c r="M107" s="17"/>
      <x:c r="N107" s="17"/>
      <x:c r="O107" s="19"/>
      <x:c r="Q107" s="17"/>
    </x:row>
    <x:row r="108">
      <x:c r="J108" s="17"/>
      <x:c r="K108" s="17"/>
      <x:c r="L108" s="17"/>
      <x:c r="M108" s="17"/>
      <x:c r="N108" s="17"/>
      <x:c r="O108" s="19"/>
      <x:c r="Q108" s="17"/>
    </x:row>
    <x:row r="109">
      <x:c r="J109" s="17"/>
      <x:c r="K109" s="17"/>
      <x:c r="L109" s="17"/>
      <x:c r="M109" s="17"/>
      <x:c r="N109" s="17"/>
      <x:c r="O109" s="19"/>
      <x:c r="Q109" s="17"/>
    </x:row>
    <x:row r="110">
      <x:c r="J110" s="17"/>
      <x:c r="K110" s="17"/>
      <x:c r="L110" s="17"/>
      <x:c r="M110" s="17"/>
      <x:c r="N110" s="17"/>
      <x:c r="O110" s="19"/>
      <x:c r="Q110" s="17"/>
    </x:row>
    <x:row r="111">
      <x:c r="J111" s="17"/>
      <x:c r="K111" s="17"/>
      <x:c r="L111" s="17"/>
      <x:c r="M111" s="17"/>
      <x:c r="N111" s="17"/>
      <x:c r="O111" s="19"/>
      <x:c r="Q111" s="17"/>
    </x:row>
    <x:row r="112">
      <x:c r="J112" s="17"/>
      <x:c r="K112" s="17"/>
      <x:c r="L112" s="17"/>
      <x:c r="M112" s="17"/>
      <x:c r="N112" s="17"/>
      <x:c r="O112" s="19"/>
      <x:c r="Q112" s="17"/>
    </x:row>
    <x:row r="113">
      <x:c r="J113" s="17"/>
      <x:c r="K113" s="17"/>
      <x:c r="L113" s="17"/>
      <x:c r="M113" s="17"/>
      <x:c r="N113" s="17"/>
      <x:c r="O113" s="19"/>
      <x:c r="Q113" s="17"/>
    </x:row>
    <x:row r="114">
      <x:c r="J114" s="17"/>
      <x:c r="K114" s="17"/>
      <x:c r="L114" s="17"/>
      <x:c r="M114" s="17"/>
      <x:c r="N114" s="17"/>
      <x:c r="O114" s="19"/>
      <x:c r="Q114" s="17"/>
    </x:row>
    <x:row r="115">
      <x:c r="J115" s="17"/>
      <x:c r="K115" s="17"/>
      <x:c r="L115" s="17"/>
      <x:c r="M115" s="17"/>
      <x:c r="N115" s="17"/>
      <x:c r="O115" s="19"/>
      <x:c r="Q115" s="17"/>
    </x:row>
    <x:row r="116">
      <x:c r="J116" s="17"/>
      <x:c r="K116" s="17"/>
      <x:c r="L116" s="17"/>
      <x:c r="M116" s="17"/>
      <x:c r="N116" s="17"/>
      <x:c r="O116" s="19"/>
      <x:c r="Q116" s="17"/>
    </x:row>
    <x:row r="117">
      <x:c r="J117" s="17"/>
      <x:c r="K117" s="17"/>
      <x:c r="L117" s="17"/>
      <x:c r="M117" s="17"/>
      <x:c r="N117" s="17"/>
      <x:c r="O117" s="19"/>
      <x:c r="Q117" s="17"/>
    </x:row>
    <x:row r="118">
      <x:c r="J118" s="17"/>
      <x:c r="K118" s="17"/>
      <x:c r="L118" s="17"/>
      <x:c r="M118" s="17"/>
      <x:c r="N118" s="17"/>
      <x:c r="O118" s="19"/>
      <x:c r="Q118" s="17"/>
    </x:row>
    <x:row r="119">
      <x:c r="J119" s="17"/>
      <x:c r="K119" s="17"/>
      <x:c r="L119" s="17"/>
      <x:c r="M119" s="17"/>
      <x:c r="N119" s="17"/>
      <x:c r="O119" s="19"/>
      <x:c r="Q119" s="17"/>
    </x:row>
    <x:row r="120">
      <x:c r="J120" s="17"/>
      <x:c r="K120" s="17"/>
      <x:c r="L120" s="17"/>
      <x:c r="M120" s="17"/>
      <x:c r="N120" s="17"/>
      <x:c r="O120" s="19"/>
      <x:c r="Q120" s="17"/>
    </x:row>
    <x:row r="121">
      <x:c r="J121" s="17"/>
      <x:c r="K121" s="17"/>
      <x:c r="L121" s="17"/>
      <x:c r="M121" s="17"/>
      <x:c r="N121" s="17"/>
      <x:c r="O121" s="19"/>
      <x:c r="Q121" s="17"/>
    </x:row>
    <x:row r="122">
      <x:c r="J122" s="17"/>
      <x:c r="K122" s="17"/>
      <x:c r="L122" s="17"/>
      <x:c r="M122" s="17"/>
      <x:c r="N122" s="17"/>
      <x:c r="O122" s="19"/>
      <x:c r="Q122" s="17"/>
    </x:row>
    <x:row r="123">
      <x:c r="J123" s="17"/>
      <x:c r="K123" s="17"/>
      <x:c r="L123" s="17"/>
      <x:c r="M123" s="17"/>
      <x:c r="N123" s="17"/>
      <x:c r="O123" s="19"/>
      <x:c r="Q123" s="17"/>
    </x:row>
    <x:row r="124">
      <x:c r="J124" s="17"/>
      <x:c r="K124" s="17"/>
      <x:c r="L124" s="17"/>
      <x:c r="M124" s="17"/>
      <x:c r="N124" s="17"/>
      <x:c r="O124" s="19"/>
      <x:c r="Q124" s="17"/>
    </x:row>
    <x:row r="125">
      <x:c r="J125" s="17"/>
      <x:c r="K125" s="17"/>
      <x:c r="L125" s="17"/>
      <x:c r="M125" s="17"/>
      <x:c r="N125" s="17"/>
      <x:c r="O125" s="19"/>
      <x:c r="Q125" s="17"/>
    </x:row>
    <x:row r="126">
      <x:c r="J126" s="17"/>
      <x:c r="K126" s="17"/>
      <x:c r="L126" s="17"/>
      <x:c r="M126" s="17"/>
      <x:c r="N126" s="17"/>
      <x:c r="O126" s="19"/>
      <x:c r="Q126" s="17"/>
    </x:row>
    <x:row r="127">
      <x:c r="J127" s="17"/>
      <x:c r="K127" s="17"/>
      <x:c r="L127" s="17"/>
      <x:c r="M127" s="17"/>
      <x:c r="N127" s="17"/>
      <x:c r="O127" s="19"/>
      <x:c r="Q127" s="17"/>
    </x:row>
    <x:row r="128">
      <x:c r="J128" s="17"/>
      <x:c r="K128" s="17"/>
      <x:c r="L128" s="17"/>
      <x:c r="M128" s="17"/>
      <x:c r="N128" s="17"/>
      <x:c r="O128" s="19"/>
      <x:c r="Q128" s="17"/>
    </x:row>
    <x:row r="129">
      <x:c r="J129" s="17"/>
      <x:c r="K129" s="17"/>
      <x:c r="L129" s="17"/>
      <x:c r="M129" s="17"/>
      <x:c r="N129" s="17"/>
      <x:c r="O129" s="19"/>
      <x:c r="Q129" s="17"/>
    </x:row>
    <x:row r="130">
      <x:c r="J130" s="17"/>
      <x:c r="K130" s="17"/>
      <x:c r="L130" s="17"/>
      <x:c r="M130" s="17"/>
      <x:c r="N130" s="17"/>
      <x:c r="O130" s="19"/>
      <x:c r="Q130" s="17"/>
    </x:row>
    <x:row r="131">
      <x:c r="J131" s="17"/>
      <x:c r="K131" s="17"/>
      <x:c r="L131" s="17"/>
      <x:c r="M131" s="17"/>
      <x:c r="N131" s="17"/>
      <x:c r="O131" s="19"/>
      <x:c r="Q131" s="17"/>
    </x:row>
    <x:row r="132">
      <x:c r="J132" s="17"/>
      <x:c r="K132" s="17"/>
      <x:c r="L132" s="17"/>
      <x:c r="M132" s="17"/>
      <x:c r="N132" s="17"/>
      <x:c r="O132" s="19"/>
      <x:c r="Q132" s="17"/>
    </x:row>
    <x:row r="133">
      <x:c r="J133" s="17"/>
      <x:c r="K133" s="17"/>
      <x:c r="L133" s="17"/>
      <x:c r="M133" s="17"/>
      <x:c r="N133" s="17"/>
      <x:c r="O133" s="19"/>
      <x:c r="Q133" s="17"/>
    </x:row>
    <x:row r="134">
      <x:c r="J134" s="17"/>
      <x:c r="K134" s="17"/>
      <x:c r="L134" s="17"/>
      <x:c r="M134" s="17"/>
      <x:c r="N134" s="17"/>
      <x:c r="O134" s="19"/>
      <x:c r="Q134" s="17"/>
    </x:row>
    <x:row r="135">
      <x:c r="J135" s="17"/>
      <x:c r="K135" s="17"/>
      <x:c r="L135" s="17"/>
      <x:c r="M135" s="17"/>
      <x:c r="N135" s="17"/>
      <x:c r="O135" s="19"/>
      <x:c r="Q135" s="17"/>
    </x:row>
    <x:row r="136">
      <x:c r="J136" s="17"/>
      <x:c r="K136" s="17"/>
      <x:c r="L136" s="17"/>
      <x:c r="M136" s="17"/>
      <x:c r="N136" s="17"/>
      <x:c r="O136" s="19"/>
      <x:c r="Q136" s="17"/>
    </x:row>
    <x:row r="137">
      <x:c r="J137" s="17"/>
      <x:c r="K137" s="17"/>
      <x:c r="L137" s="17"/>
      <x:c r="M137" s="17"/>
      <x:c r="N137" s="17"/>
      <x:c r="O137" s="19"/>
      <x:c r="Q137" s="17"/>
    </x:row>
    <x:row r="138">
      <x:c r="J138" s="17"/>
      <x:c r="K138" s="17"/>
      <x:c r="L138" s="17"/>
      <x:c r="M138" s="17"/>
      <x:c r="N138" s="17"/>
      <x:c r="O138" s="19"/>
      <x:c r="Q138" s="17"/>
    </x:row>
    <x:row r="139">
      <x:c r="J139" s="17"/>
      <x:c r="K139" s="17"/>
      <x:c r="L139" s="17"/>
      <x:c r="M139" s="17"/>
      <x:c r="N139" s="17"/>
      <x:c r="O139" s="19"/>
      <x:c r="Q139" s="17"/>
    </x:row>
    <x:row r="140">
      <x:c r="J140" s="17"/>
      <x:c r="K140" s="17"/>
      <x:c r="L140" s="17"/>
      <x:c r="M140" s="17"/>
      <x:c r="N140" s="17"/>
      <x:c r="O140" s="19"/>
      <x:c r="Q140" s="17"/>
    </x:row>
    <x:row r="141">
      <x:c r="J141" s="17"/>
      <x:c r="K141" s="17"/>
      <x:c r="L141" s="17"/>
      <x:c r="M141" s="17"/>
      <x:c r="N141" s="17"/>
      <x:c r="O141" s="19"/>
      <x:c r="Q141" s="17"/>
    </x:row>
    <x:row r="142">
      <x:c r="J142" s="17"/>
      <x:c r="K142" s="17"/>
      <x:c r="L142" s="17"/>
      <x:c r="M142" s="17"/>
      <x:c r="N142" s="17"/>
      <x:c r="O142" s="19"/>
      <x:c r="Q142" s="17"/>
    </x:row>
    <x:row r="143">
      <x:c r="J143" s="17"/>
      <x:c r="K143" s="17"/>
      <x:c r="L143" s="17"/>
      <x:c r="M143" s="17"/>
      <x:c r="N143" s="17"/>
      <x:c r="O143" s="19"/>
      <x:c r="Q143" s="17"/>
    </x:row>
    <x:row r="144">
      <x:c r="J144" s="17"/>
      <x:c r="K144" s="17"/>
      <x:c r="L144" s="17"/>
      <x:c r="M144" s="17"/>
      <x:c r="N144" s="17"/>
      <x:c r="O144" s="19"/>
      <x:c r="Q144" s="17"/>
    </x:row>
    <x:row r="145">
      <x:c r="J145" s="17"/>
      <x:c r="K145" s="17"/>
      <x:c r="L145" s="17"/>
      <x:c r="M145" s="17"/>
      <x:c r="N145" s="17"/>
      <x:c r="O145" s="19"/>
      <x:c r="Q145" s="17"/>
    </x:row>
    <x:row r="146">
      <x:c r="J146" s="17"/>
      <x:c r="K146" s="17"/>
      <x:c r="L146" s="17"/>
      <x:c r="M146" s="17"/>
      <x:c r="N146" s="17"/>
      <x:c r="O146" s="19"/>
      <x:c r="Q146" s="17"/>
    </x:row>
    <x:row r="147">
      <x:c r="J147" s="17"/>
      <x:c r="K147" s="17"/>
      <x:c r="L147" s="17"/>
      <x:c r="M147" s="17"/>
      <x:c r="N147" s="17"/>
      <x:c r="O147" s="19"/>
      <x:c r="Q147" s="17"/>
    </x:row>
    <x:row r="148">
      <x:c r="J148" s="17"/>
      <x:c r="K148" s="17"/>
      <x:c r="L148" s="17"/>
      <x:c r="M148" s="17"/>
      <x:c r="N148" s="17"/>
      <x:c r="O148" s="19"/>
      <x:c r="Q148" s="17"/>
    </x:row>
    <x:row r="149">
      <x:c r="J149" s="17"/>
      <x:c r="K149" s="17"/>
      <x:c r="L149" s="17"/>
      <x:c r="M149" s="17"/>
      <x:c r="N149" s="17"/>
      <x:c r="O149" s="19"/>
      <x:c r="Q149" s="17"/>
    </x:row>
    <x:row r="150">
      <x:c r="J150" s="17"/>
      <x:c r="K150" s="17"/>
      <x:c r="L150" s="17"/>
      <x:c r="M150" s="17"/>
      <x:c r="N150" s="17"/>
      <x:c r="O150" s="19"/>
      <x:c r="Q150" s="17"/>
    </x:row>
    <x:row r="151">
      <x:c r="J151" s="17"/>
      <x:c r="K151" s="17"/>
      <x:c r="L151" s="17"/>
      <x:c r="M151" s="17"/>
      <x:c r="N151" s="17"/>
      <x:c r="O151" s="19"/>
      <x:c r="Q151" s="17"/>
    </x:row>
    <x:row r="152">
      <x:c r="J152" s="17"/>
      <x:c r="K152" s="17"/>
      <x:c r="L152" s="17"/>
      <x:c r="M152" s="17"/>
      <x:c r="N152" s="17"/>
      <x:c r="O152" s="19"/>
      <x:c r="Q152" s="17"/>
    </x:row>
    <x:row r="153">
      <x:c r="J153" s="17"/>
      <x:c r="K153" s="17"/>
      <x:c r="L153" s="17"/>
      <x:c r="M153" s="17"/>
      <x:c r="N153" s="17"/>
      <x:c r="O153" s="19"/>
      <x:c r="Q153" s="17"/>
    </x:row>
    <x:row r="154">
      <x:c r="J154" s="17"/>
      <x:c r="K154" s="17"/>
      <x:c r="L154" s="17"/>
      <x:c r="M154" s="17"/>
      <x:c r="N154" s="17"/>
      <x:c r="O154" s="19"/>
      <x:c r="Q154" s="17"/>
    </x:row>
    <x:row r="155">
      <x:c r="J155" s="17"/>
      <x:c r="K155" s="17"/>
      <x:c r="L155" s="17"/>
      <x:c r="M155" s="17"/>
      <x:c r="N155" s="17"/>
      <x:c r="O155" s="19"/>
      <x:c r="Q155" s="17"/>
    </x:row>
    <x:row r="156">
      <x:c r="J156" s="17"/>
      <x:c r="K156" s="17"/>
      <x:c r="L156" s="17"/>
      <x:c r="M156" s="17"/>
      <x:c r="N156" s="17"/>
      <x:c r="O156" s="19"/>
      <x:c r="Q156" s="17"/>
    </x:row>
    <x:row r="157">
      <x:c r="J157" s="17"/>
      <x:c r="K157" s="17"/>
      <x:c r="L157" s="17"/>
      <x:c r="M157" s="17"/>
      <x:c r="N157" s="17"/>
      <x:c r="O157" s="19"/>
      <x:c r="Q157" s="17"/>
    </x:row>
    <x:row r="158">
      <x:c r="J158" s="17"/>
      <x:c r="K158" s="17"/>
      <x:c r="L158" s="17"/>
      <x:c r="M158" s="17"/>
      <x:c r="N158" s="17"/>
      <x:c r="O158" s="19"/>
      <x:c r="Q158" s="17"/>
    </x:row>
    <x:row r="159">
      <x:c r="J159" s="17"/>
      <x:c r="K159" s="17"/>
      <x:c r="L159" s="17"/>
      <x:c r="M159" s="17"/>
      <x:c r="N159" s="17"/>
      <x:c r="O159" s="19"/>
      <x:c r="Q159" s="17"/>
    </x:row>
    <x:row r="160">
      <x:c r="J160" s="17"/>
      <x:c r="K160" s="17"/>
      <x:c r="L160" s="17"/>
      <x:c r="M160" s="17"/>
      <x:c r="N160" s="17"/>
      <x:c r="O160" s="19"/>
      <x:c r="Q160" s="17"/>
    </x:row>
    <x:row r="161">
      <x:c r="J161" s="17"/>
      <x:c r="K161" s="17"/>
      <x:c r="L161" s="17"/>
      <x:c r="M161" s="17"/>
      <x:c r="N161" s="17"/>
      <x:c r="O161" s="19"/>
      <x:c r="Q161" s="17"/>
    </x:row>
    <x:row r="162">
      <x:c r="J162" s="17"/>
      <x:c r="K162" s="17"/>
      <x:c r="L162" s="17"/>
      <x:c r="M162" s="17"/>
      <x:c r="N162" s="17"/>
      <x:c r="O162" s="19"/>
      <x:c r="Q162" s="17"/>
    </x:row>
    <x:row r="163">
      <x:c r="J163" s="17"/>
      <x:c r="K163" s="17"/>
      <x:c r="L163" s="17"/>
      <x:c r="M163" s="17"/>
      <x:c r="N163" s="17"/>
      <x:c r="O163" s="19"/>
      <x:c r="Q163" s="17"/>
    </x:row>
    <x:row r="164">
      <x:c r="J164" s="17"/>
      <x:c r="K164" s="17"/>
      <x:c r="L164" s="17"/>
      <x:c r="M164" s="17"/>
      <x:c r="N164" s="17"/>
      <x:c r="O164" s="19"/>
      <x:c r="Q164" s="17"/>
    </x:row>
    <x:row r="165">
      <x:c r="J165" s="17"/>
      <x:c r="K165" s="17"/>
      <x:c r="L165" s="17"/>
      <x:c r="M165" s="17"/>
      <x:c r="N165" s="17"/>
      <x:c r="O165" s="19"/>
      <x:c r="Q165" s="17"/>
    </x:row>
    <x:row r="166">
      <x:c r="J166" s="17"/>
      <x:c r="K166" s="17"/>
      <x:c r="L166" s="17"/>
      <x:c r="M166" s="17"/>
      <x:c r="N166" s="17"/>
      <x:c r="O166" s="19"/>
      <x:c r="Q166" s="17"/>
    </x:row>
    <x:row r="167">
      <x:c r="J167" s="17"/>
      <x:c r="K167" s="17"/>
      <x:c r="L167" s="17"/>
      <x:c r="M167" s="17"/>
      <x:c r="N167" s="17"/>
      <x:c r="O167" s="19"/>
      <x:c r="Q167" s="17"/>
    </x:row>
    <x:row r="168">
      <x:c r="J168" s="17"/>
      <x:c r="K168" s="17"/>
      <x:c r="L168" s="17"/>
      <x:c r="M168" s="17"/>
      <x:c r="N168" s="17"/>
      <x:c r="O168" s="19"/>
      <x:c r="Q168" s="17"/>
    </x:row>
    <x:row r="169">
      <x:c r="J169" s="17"/>
      <x:c r="K169" s="17"/>
      <x:c r="L169" s="17"/>
      <x:c r="M169" s="17"/>
      <x:c r="N169" s="17"/>
      <x:c r="O169" s="19"/>
      <x:c r="Q169" s="17"/>
    </x:row>
    <x:row r="170">
      <x:c r="J170" s="17"/>
      <x:c r="K170" s="17"/>
      <x:c r="L170" s="17"/>
      <x:c r="M170" s="17"/>
      <x:c r="N170" s="17"/>
      <x:c r="O170" s="19"/>
      <x:c r="Q170" s="17"/>
    </x:row>
    <x:row r="171">
      <x:c r="J171" s="17"/>
      <x:c r="K171" s="17"/>
      <x:c r="L171" s="17"/>
      <x:c r="M171" s="17"/>
      <x:c r="N171" s="17"/>
      <x:c r="O171" s="19"/>
      <x:c r="Q171" s="17"/>
    </x:row>
    <x:row r="172">
      <x:c r="J172" s="17"/>
      <x:c r="K172" s="17"/>
      <x:c r="L172" s="17"/>
      <x:c r="M172" s="17"/>
      <x:c r="N172" s="17"/>
      <x:c r="O172" s="19"/>
      <x:c r="Q172" s="17"/>
    </x:row>
    <x:row r="173">
      <x:c r="J173" s="17"/>
      <x:c r="K173" s="17"/>
      <x:c r="L173" s="17"/>
      <x:c r="M173" s="17"/>
      <x:c r="N173" s="17"/>
      <x:c r="O173" s="19"/>
      <x:c r="Q173" s="17"/>
    </x:row>
    <x:row r="174">
      <x:c r="J174" s="17"/>
      <x:c r="K174" s="17"/>
      <x:c r="L174" s="17"/>
      <x:c r="M174" s="17"/>
      <x:c r="N174" s="17"/>
      <x:c r="O174" s="19"/>
      <x:c r="Q174" s="17"/>
    </x:row>
    <x:row r="175">
      <x:c r="J175" s="17"/>
      <x:c r="K175" s="17"/>
      <x:c r="L175" s="17"/>
      <x:c r="M175" s="17"/>
      <x:c r="N175" s="17"/>
      <x:c r="O175" s="19"/>
      <x:c r="Q175" s="17"/>
    </x:row>
    <x:row r="176">
      <x:c r="J176" s="17"/>
      <x:c r="K176" s="17"/>
      <x:c r="L176" s="17"/>
      <x:c r="M176" s="17"/>
      <x:c r="N176" s="17"/>
      <x:c r="O176" s="19"/>
      <x:c r="Q176" s="17"/>
    </x:row>
    <x:row r="177">
      <x:c r="J177" s="17"/>
      <x:c r="K177" s="17"/>
      <x:c r="L177" s="17"/>
      <x:c r="M177" s="17"/>
      <x:c r="N177" s="17"/>
      <x:c r="O177" s="19"/>
      <x:c r="Q177" s="17"/>
    </x:row>
    <x:row r="178">
      <x:c r="J178" s="17"/>
      <x:c r="K178" s="17"/>
      <x:c r="L178" s="17"/>
      <x:c r="M178" s="17"/>
      <x:c r="N178" s="17"/>
      <x:c r="O178" s="19"/>
      <x:c r="Q178" s="17"/>
    </x:row>
    <x:row r="179">
      <x:c r="J179" s="17"/>
      <x:c r="K179" s="17"/>
      <x:c r="L179" s="17"/>
      <x:c r="M179" s="17"/>
      <x:c r="N179" s="17"/>
      <x:c r="O179" s="19"/>
      <x:c r="Q179" s="17"/>
    </x:row>
    <x:row r="180">
      <x:c r="J180" s="17"/>
      <x:c r="K180" s="17"/>
      <x:c r="L180" s="17"/>
      <x:c r="M180" s="17"/>
      <x:c r="N180" s="17"/>
      <x:c r="O180" s="19"/>
      <x:c r="Q180" s="17"/>
    </x:row>
    <x:row r="181">
      <x:c r="J181" s="17"/>
      <x:c r="K181" s="17"/>
      <x:c r="L181" s="17"/>
      <x:c r="M181" s="17"/>
      <x:c r="N181" s="17"/>
      <x:c r="O181" s="19"/>
      <x:c r="Q181" s="17"/>
    </x:row>
    <x:row r="182">
      <x:c r="J182" s="17"/>
      <x:c r="K182" s="17"/>
      <x:c r="L182" s="17"/>
      <x:c r="M182" s="17"/>
      <x:c r="N182" s="17"/>
      <x:c r="O182" s="19"/>
      <x:c r="Q182" s="17"/>
    </x:row>
    <x:row r="183">
      <x:c r="J183" s="17"/>
      <x:c r="K183" s="17"/>
      <x:c r="L183" s="17"/>
      <x:c r="M183" s="17"/>
      <x:c r="N183" s="17"/>
      <x:c r="O183" s="19"/>
      <x:c r="Q183" s="17"/>
    </x:row>
    <x:row r="184">
      <x:c r="J184" s="17"/>
      <x:c r="K184" s="17"/>
      <x:c r="L184" s="17"/>
      <x:c r="M184" s="17"/>
      <x:c r="N184" s="17"/>
      <x:c r="O184" s="19"/>
      <x:c r="Q184" s="17"/>
    </x:row>
    <x:row r="185">
      <x:c r="J185" s="17"/>
      <x:c r="K185" s="17"/>
      <x:c r="L185" s="17"/>
      <x:c r="M185" s="17"/>
      <x:c r="N185" s="17"/>
      <x:c r="O185" s="19"/>
      <x:c r="Q185" s="17"/>
    </x:row>
    <x:row r="186">
      <x:c r="J186" s="17"/>
      <x:c r="K186" s="17"/>
      <x:c r="L186" s="17"/>
      <x:c r="M186" s="17"/>
      <x:c r="N186" s="17"/>
      <x:c r="O186" s="19"/>
      <x:c r="Q186" s="17"/>
    </x:row>
    <x:row r="187">
      <x:c r="J187" s="17"/>
      <x:c r="K187" s="17"/>
      <x:c r="L187" s="17"/>
      <x:c r="M187" s="17"/>
      <x:c r="N187" s="17"/>
      <x:c r="O187" s="19"/>
      <x:c r="Q187" s="17"/>
    </x:row>
    <x:row r="188">
      <x:c r="J188" s="17"/>
      <x:c r="K188" s="17"/>
      <x:c r="L188" s="17"/>
      <x:c r="M188" s="17"/>
      <x:c r="N188" s="17"/>
      <x:c r="O188" s="19"/>
      <x:c r="Q188" s="17"/>
    </x:row>
    <x:row r="189">
      <x:c r="J189" s="17"/>
      <x:c r="K189" s="17"/>
      <x:c r="L189" s="17"/>
      <x:c r="M189" s="17"/>
      <x:c r="N189" s="17"/>
      <x:c r="O189" s="19"/>
      <x:c r="Q189" s="17"/>
    </x:row>
    <x:row r="190">
      <x:c r="J190" s="17"/>
      <x:c r="K190" s="17"/>
      <x:c r="L190" s="17"/>
      <x:c r="M190" s="17"/>
      <x:c r="N190" s="17"/>
      <x:c r="O190" s="19"/>
      <x:c r="Q190" s="17"/>
    </x:row>
    <x:row r="191">
      <x:c r="J191" s="17"/>
      <x:c r="K191" s="17"/>
      <x:c r="L191" s="17"/>
      <x:c r="M191" s="17"/>
      <x:c r="N191" s="17"/>
      <x:c r="O191" s="19"/>
      <x:c r="Q191" s="17"/>
    </x:row>
    <x:row r="192">
      <x:c r="J192" s="17"/>
      <x:c r="K192" s="17"/>
      <x:c r="L192" s="17"/>
      <x:c r="M192" s="17"/>
      <x:c r="N192" s="17"/>
      <x:c r="O192" s="19"/>
      <x:c r="Q192" s="17"/>
    </x:row>
    <x:row r="193">
      <x:c r="J193" s="17"/>
      <x:c r="K193" s="17"/>
      <x:c r="L193" s="17"/>
      <x:c r="M193" s="17"/>
      <x:c r="N193" s="17"/>
      <x:c r="O193" s="19"/>
      <x:c r="Q193" s="17"/>
    </x:row>
    <x:row r="194">
      <x:c r="J194" s="17"/>
      <x:c r="K194" s="17"/>
      <x:c r="L194" s="17"/>
      <x:c r="M194" s="17"/>
      <x:c r="N194" s="17"/>
      <x:c r="O194" s="19"/>
      <x:c r="Q194" s="17"/>
    </x:row>
    <x:row r="195">
      <x:c r="J195" s="17"/>
      <x:c r="K195" s="17"/>
      <x:c r="L195" s="17"/>
      <x:c r="M195" s="17"/>
      <x:c r="N195" s="17"/>
      <x:c r="O195" s="19"/>
      <x:c r="Q195" s="17"/>
    </x:row>
    <x:row r="196">
      <x:c r="J196" s="17"/>
      <x:c r="K196" s="17"/>
      <x:c r="L196" s="17"/>
      <x:c r="M196" s="17"/>
      <x:c r="N196" s="17"/>
      <x:c r="O196" s="19"/>
      <x:c r="Q196" s="17"/>
    </x:row>
    <x:row r="197">
      <x:c r="J197" s="17"/>
      <x:c r="K197" s="17"/>
      <x:c r="L197" s="17"/>
      <x:c r="M197" s="17"/>
      <x:c r="N197" s="17"/>
      <x:c r="O197" s="19"/>
      <x:c r="Q197" s="17"/>
    </x:row>
    <x:row r="198">
      <x:c r="J198" s="17"/>
      <x:c r="K198" s="17"/>
      <x:c r="L198" s="17"/>
      <x:c r="M198" s="17"/>
      <x:c r="N198" s="17"/>
      <x:c r="O198" s="19"/>
      <x:c r="Q198" s="17"/>
    </x:row>
    <x:row r="199">
      <x:c r="J199" s="17"/>
      <x:c r="K199" s="17"/>
      <x:c r="L199" s="17"/>
      <x:c r="M199" s="17"/>
      <x:c r="N199" s="17"/>
      <x:c r="O199" s="19"/>
      <x:c r="Q199" s="17"/>
    </x:row>
    <x:row r="200">
      <x:c r="J200" s="17"/>
      <x:c r="K200" s="17"/>
      <x:c r="L200" s="17"/>
      <x:c r="M200" s="17"/>
      <x:c r="N200" s="17"/>
      <x:c r="O200" s="19"/>
      <x:c r="Q200" s="17"/>
    </x:row>
    <x:row r="201">
      <x:c r="J201" s="17"/>
      <x:c r="K201" s="17"/>
      <x:c r="L201" s="17"/>
      <x:c r="M201" s="17"/>
      <x:c r="N201" s="17"/>
      <x:c r="O201" s="19"/>
      <x:c r="Q201" s="17"/>
    </x:row>
    <x:row r="202">
      <x:c r="J202" s="17"/>
      <x:c r="K202" s="17"/>
      <x:c r="L202" s="17"/>
      <x:c r="M202" s="17"/>
      <x:c r="N202" s="17"/>
      <x:c r="O202" s="19"/>
      <x:c r="Q202" s="17"/>
    </x:row>
    <x:row r="203">
      <x:c r="J203" s="17"/>
      <x:c r="K203" s="17"/>
      <x:c r="L203" s="17"/>
      <x:c r="M203" s="17"/>
      <x:c r="N203" s="17"/>
      <x:c r="O203" s="19"/>
      <x:c r="Q203" s="17"/>
    </x:row>
    <x:row r="204">
      <x:c r="J204" s="17"/>
      <x:c r="K204" s="17"/>
      <x:c r="L204" s="17"/>
      <x:c r="M204" s="17"/>
      <x:c r="N204" s="17"/>
      <x:c r="O204" s="19"/>
      <x:c r="Q204" s="17"/>
    </x:row>
    <x:row r="205">
      <x:c r="J205" s="17"/>
      <x:c r="K205" s="17"/>
      <x:c r="L205" s="17"/>
      <x:c r="M205" s="17"/>
      <x:c r="N205" s="17"/>
      <x:c r="O205" s="19"/>
      <x:c r="Q205" s="17"/>
    </x:row>
    <x:row r="206">
      <x:c r="J206" s="17"/>
      <x:c r="K206" s="17"/>
      <x:c r="L206" s="17"/>
      <x:c r="M206" s="17"/>
      <x:c r="N206" s="17"/>
      <x:c r="O206" s="19"/>
      <x:c r="Q206" s="17"/>
    </x:row>
    <x:row r="207">
      <x:c r="J207" s="17"/>
      <x:c r="K207" s="17"/>
      <x:c r="L207" s="17"/>
      <x:c r="M207" s="17"/>
      <x:c r="N207" s="17"/>
      <x:c r="O207" s="19"/>
      <x:c r="Q207" s="17"/>
    </x:row>
    <x:row r="208">
      <x:c r="J208" s="17"/>
      <x:c r="K208" s="17"/>
      <x:c r="L208" s="17"/>
      <x:c r="M208" s="17"/>
      <x:c r="N208" s="17"/>
      <x:c r="O208" s="19"/>
      <x:c r="Q208" s="17"/>
    </x:row>
  </x:sheetData>
  <x:conditionalFormatting sqref="H9:H208">
    <x:cfRule type="expression" dxfId="0" priority="1">
      <x:formula>$H9="A definir"</x:formula>
    </x:cfRule>
    <x:cfRule type="expression" dxfId="1" priority="2">
      <x:formula>$H9="A fazer"</x:formula>
    </x:cfRule>
    <x:cfRule type="expression" dxfId="2" priority="3">
      <x:formula>$H9="Em desenvolvimento"</x:formula>
    </x:cfRule>
    <x:cfRule type="expression" dxfId="3" priority="4">
      <x:formula>$H9="Em revisão"</x:formula>
    </x:cfRule>
    <x:cfRule type="expression" dxfId="4" priority="5">
      <x:formula>$H9="Correção solicitada"</x:formula>
    </x:cfRule>
    <x:cfRule type="expression" dxfId="5" priority="6">
      <x:formula>$H9="Bloqueado"</x:formula>
    </x:cfRule>
    <x:cfRule type="expression" dxfId="6" priority="7">
      <x:formula>$H9="Concluído"</x:formula>
    </x:cfRule>
  </x:conditionalFormatting>
  <x:conditionalFormatting sqref="K9:K208">
    <x:cfRule type="expression" dxfId="7" priority="8">
      <x:formula>AND(ISNUMBER($K9),$K9&lt;TODAY(),$H9&lt;&gt;"Concluído",$A9&lt;&gt;"")</x:formula>
    </x:cfRule>
  </x:conditionalFormatting>
  <x:conditionalFormatting sqref="I9:I208">
    <x:cfRule type="expression" dxfId="8" priority="9">
      <x:formula>$I9="Alta"</x:formula>
    </x:cfRule>
  </x:conditionalFormatting>
  <x:conditionalFormatting sqref="N9:N208">
    <x:cfRule type="expression" dxfId="9" priority="10">
      <x:formula>AND($H9="Concluído",$N9="")</x:formula>
    </x:cfRule>
  </x:conditionalFormatting>
  <x:dataValidations count="5">
    <x:dataValidation type="list" sqref="F9:F208">
      <x:formula1>"Novo,Correção"</x:formula1>
    </x:dataValidation>
    <x:dataValidation type="list" sqref="G9:G208">
      <x:formula1>"Analista 1,Analista 2"</x:formula1>
    </x:dataValidation>
    <x:dataValidation type="list" sqref="H9:H208">
      <x:formula1>"A definir,A fazer,Em desenvolvimento,Em revisão,Correção solicitada,Bloqueado,Concluído"</x:formula1>
    </x:dataValidation>
    <x:dataValidation type="list" sqref="I9:I208">
      <x:formula1>"Alta,Média,Baixa"</x:formula1>
    </x:dataValidation>
    <x:dataValidation type="whole" operator="between" sqref="O9:O208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1f5996435604d04"/>
  </x:tableParts>
</x:worksheet>
</file>

<file path=xl/worksheets/sheet3.xml><?xml version="1.0" encoding="utf-8"?>
<x:worksheet xmlns:x="http://schemas.openxmlformats.org/spreadsheetml/2006/main">
  <x:sheetPr>
    <x:tabColor rgb="FF5848A8"/>
  </x:sheetPr>
  <x:sheetViews>
    <x:sheetView showGridLines="0" workbookViewId="0"/>
  </x:sheetViews>
  <x:sheetFormatPr defaultRowHeight="15"/>
  <x:cols>
    <x:col min="1" max="1" width="4" hidden="0" customWidth="1"/>
    <x:col min="2" max="2" width="32" hidden="0" customWidth="1"/>
    <x:col min="3" max="3" width="34" hidden="0" customWidth="1"/>
    <x:col min="4" max="4" width="56" hidden="0" customWidth="1"/>
  </x:cols>
  <x:sheetData>
    <x:row r="2">
      <x:c r="B2" s="2" t="str">
        <x:v>Equipe e critérios</x:v>
      </x:c>
      <x:c r="C2" s="1"/>
      <x:c r="D2" s="1"/>
    </x:row>
    <x:row r="3">
      <x:c r="B3" s="1"/>
      <x:c r="C3" s="1"/>
      <x:c r="D3" s="1"/>
    </x:row>
    <x:row r="4" ht="30" customHeight="1">
      <x:c r="B4" s="22" t="str">
        <x:v>Pessoas</x:v>
      </x:c>
      <x:c r="C4" s="22"/>
      <x:c r="D4" s="22"/>
    </x:row>
    <x:row r="5">
      <x:c r="B5" s="1" t="str">
        <x:v>Coordenador</x:v>
      </x:c>
      <x:c r="C5" s="24"/>
      <x:c r="D5" s="3" t="str">
        <x:v>Preencha os nomes. Em Controle, atribua cada item a “Analista 1” ou “Analista 2”.</x:v>
      </x:c>
    </x:row>
    <x:row r="6">
      <x:c r="B6" s="1" t="str">
        <x:v>Analista 1</x:v>
      </x:c>
      <x:c r="C6" s="25"/>
      <x:c r="D6" s="1"/>
    </x:row>
    <x:row r="7">
      <x:c r="B7" s="1" t="str">
        <x:v>Analista 2</x:v>
      </x:c>
      <x:c r="C7" s="26"/>
      <x:c r="D7" s="1"/>
    </x:row>
    <x:row r="8">
      <x:c r="B8" s="1"/>
      <x:c r="C8" s="1"/>
      <x:c r="D8" s="1"/>
    </x:row>
    <x:row r="9" ht="30" customHeight="1">
      <x:c r="B9" s="29" t="str">
        <x:v>Situações</x:v>
      </x:c>
      <x:c r="C9" s="29"/>
      <x:c r="D9" s="29"/>
    </x:row>
    <x:row r="10">
      <x:c r="B10" s="31" t="str">
        <x:v>A definir</x:v>
      </x:c>
      <x:c r="C10" s="1" t="str">
        <x:v>A distribuição ou o andamento ainda não foi registrado.</x:v>
      </x:c>
      <x:c r="D10" s="1"/>
    </x:row>
    <x:row r="11">
      <x:c r="B11" s="33" t="str">
        <x:v>A fazer</x:v>
      </x:c>
      <x:c r="C11" s="1" t="str">
        <x:v>Trabalho definido e ainda não iniciado.</x:v>
      </x:c>
      <x:c r="D11" s="1"/>
    </x:row>
    <x:row r="12">
      <x:c r="B12" s="35" t="str">
        <x:v>Em desenvolvimento</x:v>
      </x:c>
      <x:c r="C12" s="1" t="str">
        <x:v>Analista está elaborando ou ajustando o BowTie.</x:v>
      </x:c>
      <x:c r="D12" s="1"/>
    </x:row>
    <x:row r="13">
      <x:c r="B13" s="37" t="str">
        <x:v>Em revisão</x:v>
      </x:c>
      <x:c r="C13" s="1" t="str">
        <x:v>Entregue e aguardando conferência do coordenador.</x:v>
      </x:c>
      <x:c r="D13" s="1"/>
    </x:row>
    <x:row r="14">
      <x:c r="B14" s="39" t="str">
        <x:v>Correção solicitada</x:v>
      </x:c>
      <x:c r="C14" s="1" t="str">
        <x:v>Conferência apontou ajustes pendentes.</x:v>
      </x:c>
      <x:c r="D14" s="1"/>
    </x:row>
    <x:row r="15">
      <x:c r="B15" s="41" t="str">
        <x:v>Bloqueado</x:v>
      </x:c>
      <x:c r="C15" s="1" t="str">
        <x:v>Não pode avançar; descreva o impedimento em Controle.</x:v>
      </x:c>
      <x:c r="D15" s="1"/>
    </x:row>
    <x:row r="16">
      <x:c r="B16" s="43" t="str">
        <x:v>Concluído</x:v>
      </x:c>
      <x:c r="C16" s="1" t="str">
        <x:v>Coordenador conferiu e validou o BowTie. Registre a data.</x:v>
      </x:c>
      <x:c r="D16" s="1"/>
    </x:row>
    <x:row r="17">
      <x:c r="B17" s="1"/>
      <x:c r="C17" s="1"/>
      <x:c r="D17" s="1"/>
    </x:row>
    <x:row r="18" ht="30" customHeight="1">
      <x:c r="B18" s="29" t="str">
        <x:v>Tipo de trabalho</x:v>
      </x:c>
      <x:c r="C18" s="29"/>
      <x:c r="D18" s="29"/>
    </x:row>
    <x:row r="19">
      <x:c r="B19" s="1" t="str">
        <x:v>Novo</x:v>
      </x:c>
      <x:c r="C19" s="1" t="str">
        <x:v>Elaborar o primeiro BowTie do cenário.</x:v>
      </x:c>
      <x:c r="D19" s="1"/>
    </x:row>
    <x:row r="20">
      <x:c r="B20" t="str">
        <x:v>Correção</x:v>
      </x:c>
      <x:c r="C20" t="str">
        <x:v>Ajustar um BowTie que já existe.</x:v>
      </x:c>
    </x:row>
    <x:row r="22">
      <x:c r="B22" s="3" t="str">
        <x:v>Use uma linha por cenário/BowTie. Ao adicionar outros itens, registre a fonte e o ID em Controle.</x:v>
      </x:c>
    </x:row>
  </x:sheetData>
  <x:pageMargins left="0.7" right="0.7" top="0.75" bottom="0.75" header="0.3" footer="0.3"/>
</x:worksheet>
</file>